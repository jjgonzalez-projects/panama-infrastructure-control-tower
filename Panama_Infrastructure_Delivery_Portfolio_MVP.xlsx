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c8a90a9f2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ff952329e58484f"/>
    <x:sheet xmlns:r="http://schemas.openxmlformats.org/officeDocument/2006/relationships" name="Projects" sheetId="2" r:id="Ra0988fe4b7c44e24"/>
    <x:sheet xmlns:r="http://schemas.openxmlformats.org/officeDocument/2006/relationships" name="Suppliers" sheetId="3" r:id="R4bcb59ce6132439c"/>
    <x:sheet xmlns:r="http://schemas.openxmlformats.org/officeDocument/2006/relationships" name="Procurement" sheetId="4" r:id="R8b95cd880a714547"/>
    <x:sheet xmlns:r="http://schemas.openxmlformats.org/officeDocument/2006/relationships" name="Contracts" sheetId="5" r:id="R5df86435d0a740f5"/>
    <x:sheet xmlns:r="http://schemas.openxmlformats.org/officeDocument/2006/relationships" name="Milestones" sheetId="6" r:id="Refe9fe8cebd24a86"/>
    <x:sheet xmlns:r="http://schemas.openxmlformats.org/officeDocument/2006/relationships" name="Risks" sheetId="7" r:id="R52d437de44564e27"/>
    <x:sheet xmlns:r="http://schemas.openxmlformats.org/officeDocument/2006/relationships" name="Financials" sheetId="8" r:id="R350d051ab0184432"/>
    <x:sheet xmlns:r="http://schemas.openxmlformats.org/officeDocument/2006/relationships" name="Data Dictionary" sheetId="9" r:id="R2eaa318e5599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yyyy-mm-dd"/>
    <x:numFmt numFmtId="202" formatCode="0%"/>
    <x:numFmt numFmtId="203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91385a8694bb1" /><Relationship Type="http://schemas.openxmlformats.org/officeDocument/2006/relationships/theme" Target="/xl/theme/theme1.xml" Id="R1882c6bb9da9482a" /><Relationship Type="http://schemas.openxmlformats.org/officeDocument/2006/relationships/sharedStrings" Target="/xl/sharedStrings.xml" Id="Rb1bb6c788e8b4bd4" /><Relationship Type="http://schemas.openxmlformats.org/officeDocument/2006/relationships/worksheet" Target="/xl/worksheets/sheet1.xml" Id="R0ff952329e58484f" /><Relationship Type="http://schemas.openxmlformats.org/officeDocument/2006/relationships/worksheet" Target="/xl/worksheets/sheet2.xml" Id="Ra0988fe4b7c44e24" /><Relationship Type="http://schemas.openxmlformats.org/officeDocument/2006/relationships/worksheet" Target="/xl/worksheets/sheet3.xml" Id="R4bcb59ce6132439c" /><Relationship Type="http://schemas.openxmlformats.org/officeDocument/2006/relationships/worksheet" Target="/xl/worksheets/sheet4.xml" Id="R8b95cd880a714547" /><Relationship Type="http://schemas.openxmlformats.org/officeDocument/2006/relationships/worksheet" Target="/xl/worksheets/sheet5.xml" Id="R5df86435d0a740f5" /><Relationship Type="http://schemas.openxmlformats.org/officeDocument/2006/relationships/worksheet" Target="/xl/worksheets/sheet6.xml" Id="Refe9fe8cebd24a86" /><Relationship Type="http://schemas.openxmlformats.org/officeDocument/2006/relationships/worksheet" Target="/xl/worksheets/sheet7.xml" Id="R52d437de44564e27" /><Relationship Type="http://schemas.openxmlformats.org/officeDocument/2006/relationships/worksheet" Target="/xl/worksheets/sheet8.xml" Id="R350d051ab0184432" /><Relationship Type="http://schemas.openxmlformats.org/officeDocument/2006/relationships/worksheet" Target="/xl/worksheets/sheet9.xml" Id="R2eaa318e5599438a" /></Relationships>
</file>

<file path=xl/tables/table1.xml><?xml version="1.0" encoding="utf-8"?>
<x:table xmlns:x="http://schemas.openxmlformats.org/spreadsheetml/2006/main" id="1" name="ProjectsTable" displayName="ProjectsTable" ref="A1:K13" headerRowCount="1" totalsRowCount="0" totalsRowShown="0">
  <x:tableColumns count="11">
    <x:tableColumn id="1" name="Project ID"/>
    <x:tableColumn id="2" name="Project Name"/>
    <x:tableColumn id="3" name="Province"/>
    <x:tableColumn id="4" name="Project Type"/>
    <x:tableColumn id="5" name="Project Manager"/>
    <x:tableColumn id="6" name="Approved Budget"/>
    <x:tableColumn id="7" name="Start Date"/>
    <x:tableColumn id="8" name="End Date"/>
    <x:tableColumn id="9" name="Phase"/>
    <x:tableColumn id="10" name="Physical Progress"/>
    <x:tableColumn id="11" name="RAG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iersTable" displayName="SuppliersTable" ref="A1:H9" headerRowCount="1" totalsRowCount="0" totalsRowShown="0">
  <x:tableColumns count="8">
    <x:tableColumn id="1" name="Supplier ID"/>
    <x:tableColumn id="2" name="Supplier Name"/>
    <x:tableColumn id="3" name="Category"/>
    <x:tableColumn id="4" name="Quality Score"/>
    <x:tableColumn id="5" name="Delivery Score"/>
    <x:tableColumn id="6" name="Compliance Score"/>
    <x:tableColumn id="7" name="Overall Score"/>
    <x:tableColumn id="8" name="Performanc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urementTable" displayName="ProcurementTable" ref="A1:I25" headerRowCount="1" totalsRowCount="0" totalsRowShown="0">
  <x:tableColumns count="9">
    <x:tableColumn id="1" name="Procurement ID"/>
    <x:tableColumn id="2" name="Project ID"/>
    <x:tableColumn id="3" name="Package"/>
    <x:tableColumn id="4" name="Estimated Value"/>
    <x:tableColumn id="5" name="Planned Award Date"/>
    <x:tableColumn id="6" name="Actual Award Date"/>
    <x:tableColumn id="7" name="Status"/>
    <x:tableColumn id="8" name="Days vs Plan"/>
    <x:tableColumn id="9" name="R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actsTable" displayName="ContractsTable" ref="A1:L13" headerRowCount="1" totalsRowCount="0" totalsRowShown="0">
  <x:tableColumns count="12">
    <x:tableColumn id="1" name="Contract ID"/>
    <x:tableColumn id="2" name="Project ID"/>
    <x:tableColumn id="3" name="Supplier ID"/>
    <x:tableColumn id="4" name="Supplier Name"/>
    <x:tableColumn id="5" name="Contract Value"/>
    <x:tableColumn id="6" name="Committed"/>
    <x:tableColumn id="7" name="Actual Spend"/>
    <x:tableColumn id="8" name="Forecast at Completion"/>
    <x:tableColumn id="9" name="Forecast Variance"/>
    <x:tableColumn id="10" name="Contract Start"/>
    <x:tableColumn id="11" name="Contract End"/>
    <x:tableColumn id="12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lestonesTable" displayName="MilestonesTable" ref="A1:G49" headerRowCount="1" totalsRowCount="0" totalsRowShown="0">
  <x:tableColumns count="7">
    <x:tableColumn id="1" name="Milestone ID"/>
    <x:tableColumn id="2" name="Project ID"/>
    <x:tableColumn id="3" name="Milestone"/>
    <x:tableColumn id="4" name="Planned Date"/>
    <x:tableColumn id="5" name="Actual Date"/>
    <x:tableColumn id="6" name="Status"/>
    <x:tableColumn id="7" name="Days Variance / Overd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isksTable" displayName="RisksTable" ref="A1:J25" headerRowCount="1" totalsRowCount="0" totalsRowShown="0">
  <x:tableColumns count="10">
    <x:tableColumn id="1" name="Risk ID"/>
    <x:tableColumn id="2" name="Project ID"/>
    <x:tableColumn id="3" name="Risk Category"/>
    <x:tableColumn id="4" name="Probability (1-5)"/>
    <x:tableColumn id="5" name="Impact (1-5)"/>
    <x:tableColumn id="6" name="Inherent Score"/>
    <x:tableColumn id="7" name="Residual Score"/>
    <x:tableColumn id="8" name="Residual Level"/>
    <x:tableColumn id="9" name="Owner"/>
    <x:tableColumn id="10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nancialsTable" displayName="FinancialsTable" ref="A1:G13" headerRowCount="1" totalsRowCount="0" totalsRowShown="0">
  <x:tableColumns count="7">
    <x:tableColumn id="1" name="Project ID"/>
    <x:tableColumn id="2" name="Approved Budget"/>
    <x:tableColumn id="3" name="Committed"/>
    <x:tableColumn id="4" name="Actual Spend"/>
    <x:tableColumn id="5" name="Forecast at Completion"/>
    <x:tableColumn id="6" name="Forecast Variance"/>
    <x:tableColumn id="7" name="Variance %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DictionaryTable" displayName="DataDictionaryTable" ref="A1:D8" headerRowCount="1" totalsRowCount="0" totalsRowShown="0">
  <x:tableColumns count="4">
    <x:tableColumn id="1" name="Table"/>
    <x:tableColumn id="2" name="Purpose"/>
    <x:tableColumn id="3" name="Key Field"/>
    <x:tableColumn id="4" name="Used f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6b16c8a28742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837dd748eb47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9241874a6a41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6b1fffe07d41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a693a658f744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236bcbf4f94d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eaaa45b3f445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2af90fff0d4ae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3" t="str">
        <x:v>Panama Infrastructure Delivery Intelligence Platform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Purpose</x:v>
      </x:c>
      <x:c r="B3" s="11" t="str">
        <x:v>Independent portfolio project demonstrating project controls, procurement analytics, automation and AI-assisted decision support.</x:v>
      </x:c>
    </x:row>
    <x:row r="4">
      <x:c r="A4" s="10" t="str">
        <x:v>Context</x:v>
      </x:c>
      <x:c r="B4" s="11" t="str">
        <x:v>Inspired by publicly available information on international-development infrastructure programmes in Panama.</x:v>
      </x:c>
    </x:row>
    <x:row r="5">
      <x:c r="A5" s="10" t="str">
        <x:v>Important</x:v>
      </x:c>
      <x:c r="B5" s="11" t="str">
        <x:v>All operational project, supplier, contract, financial, risk and milestone data in this workbook is simulated.</x:v>
      </x:c>
    </x:row>
    <x:row r="6">
      <x:c r="A6" s="10" t="str">
        <x:v>MVP Stack</x:v>
      </x:c>
      <x:c r="B6" s="11" t="str">
        <x:v>Excel → Power BI → Power Automate → Copilot Studio</x:v>
      </x:c>
    </x:row>
    <x:row r="7">
      <x:c r="A7" s="10" t="str">
        <x:v>Programme Value</x:v>
      </x:c>
      <x:c r="B7" s="14" t="n">
        <x:v>70000000</x:v>
      </x:c>
    </x:row>
    <x:row r="8">
      <x:c r="A8" s="10" t="str">
        <x:v>Projects</x:v>
      </x:c>
      <x:c r="B8" s="11" t="n">
        <x:v>12</x:v>
      </x:c>
    </x:row>
    <x:row r="9">
      <x:c r="A9" s="10" t="str">
        <x:v>Primary Users</x:v>
      </x:c>
      <x:c r="B9" s="11" t="str">
        <x:v>Programme Manager, Project Manager, Procurement Officer, Project Controls / PMO</x:v>
      </x:c>
    </x:row>
    <x:row r="10">
      <x:c r="A10" s="10" t="str">
        <x:v>Next Step</x:v>
      </x:c>
      <x:c r="B10" s="11" t="str">
        <x:v>Connect this workbook to Power BI and build the Executive Overview model before adding automation or the agent.</x:v>
      </x:c>
    </x:row>
    <x:row r="12">
      <x:c r="A12" s="19" t="str">
        <x:v>Core management questions this dataset should answer</x:v>
      </x:c>
      <x:c r="B12" s="19"/>
      <x:c r="C12" s="19"/>
      <x:c r="D12" s="19"/>
      <x:c r="E12" s="19"/>
      <x:c r="F12" s="19"/>
      <x:c r="G12" s="19"/>
      <x:c r="H12" s="19"/>
    </x:row>
    <x:row r="13">
      <x:c r="A13" t="str">
        <x:v>1</x:v>
      </x:c>
      <x:c r="B13" s="11" t="str">
        <x:v>Which projects require management attention this week?</x:v>
      </x:c>
    </x:row>
    <x:row r="14">
      <x:c r="A14" t="str">
        <x:v>2</x:v>
      </x:c>
      <x:c r="B14" s="11" t="str">
        <x:v>Which procurement packages are delaying project delivery?</x:v>
      </x:c>
    </x:row>
    <x:row r="15">
      <x:c r="A15" t="str">
        <x:v>3</x:v>
      </x:c>
      <x:c r="B15" s="11" t="str">
        <x:v>Which contracts or projects have cost/forecast pressure?</x:v>
      </x:c>
    </x:row>
    <x:row r="16">
      <x:c r="A16" t="str">
        <x:v>4</x:v>
      </x:c>
      <x:c r="B16" s="11" t="str">
        <x:v>Which suppliers are underperforming?</x:v>
      </x:c>
    </x:row>
    <x:row r="17">
      <x:c r="A17" t="str">
        <x:v>5</x:v>
      </x:c>
      <x:c r="B17" s="11" t="str">
        <x:v>What milestones are overdue or due within seven days?</x:v>
      </x:c>
    </x:row>
    <x:row r="18">
      <x:c r="A18" t="str">
        <x:v>6</x:v>
      </x:c>
      <x:c r="B18" s="11" t="str">
        <x:v>What are the highest residual risks and who owns them?</x:v>
      </x:c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8" hidden="0" customWidth="1"/>
    <x:col min="4" max="4" width="24" hidden="0" customWidth="1"/>
    <x:col min="5" max="5" width="20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12" hidden="0" customWidth="1"/>
  </x:cols>
  <x:sheetData>
    <x:row r="1">
      <x:c r="A1" s="24" t="str">
        <x:v>Project ID</x:v>
      </x:c>
      <x:c r="B1" s="24" t="str">
        <x:v>Project Name</x:v>
      </x:c>
      <x:c r="C1" s="24" t="str">
        <x:v>Province</x:v>
      </x:c>
      <x:c r="D1" s="24" t="str">
        <x:v>Project Type</x:v>
      </x:c>
      <x:c r="E1" s="24" t="str">
        <x:v>Project Manager</x:v>
      </x:c>
      <x:c r="F1" s="24" t="str">
        <x:v>Approved Budget</x:v>
      </x:c>
      <x:c r="G1" s="24" t="str">
        <x:v>Start Date</x:v>
      </x:c>
      <x:c r="H1" s="24" t="str">
        <x:v>End Date</x:v>
      </x:c>
      <x:c r="I1" s="24" t="str">
        <x:v>Phase</x:v>
      </x:c>
      <x:c r="J1" s="24" t="str">
        <x:v>Physical Progress</x:v>
      </x:c>
      <x:c r="K1" s="24" t="str">
        <x:v>RAG Status</x:v>
      </x:c>
    </x:row>
    <x:row r="2">
      <x:c r="A2" s="26" t="str">
        <x:v>PRJ-001</x:v>
      </x:c>
      <x:c r="B2" s="26" t="str">
        <x:v>Panamá Oeste Road Rehabilitation</x:v>
      </x:c>
      <x:c r="C2" s="26" t="str">
        <x:v>Panamá Oeste</x:v>
      </x:c>
      <x:c r="D2" s="26" t="str">
        <x:v>Road Rehabilitation</x:v>
      </x:c>
      <x:c r="E2" s="26" t="str">
        <x:v>María Torres</x:v>
      </x:c>
      <x:c r="F2" s="28" t="n">
        <x:v>8500000</x:v>
      </x:c>
      <x:c r="G2" s="30" t="n">
        <x:v>46034</x:v>
      </x:c>
      <x:c r="H2" s="30" t="n">
        <x:v>46477</x:v>
      </x:c>
      <x:c r="I2" s="26" t="str">
        <x:v>Construction</x:v>
      </x:c>
      <x:c r="J2" s="32" t="n">
        <x:v>0.61</x:v>
      </x:c>
      <x:c r="K2" s="26" t="str">
        <x:v>Amber</x:v>
      </x:c>
    </x:row>
    <x:row r="3">
      <x:c r="A3" s="26" t="str">
        <x:v>PRJ-002</x:v>
      </x:c>
      <x:c r="B3" s="26" t="str">
        <x:v>Colón Preventive Maintenance Programme</x:v>
      </x:c>
      <x:c r="C3" s="26" t="str">
        <x:v>Colón</x:v>
      </x:c>
      <x:c r="D3" s="26" t="str">
        <x:v>Preventive Maintenance</x:v>
      </x:c>
      <x:c r="E3" s="26" t="str">
        <x:v>Carlos Méndez</x:v>
      </x:c>
      <x:c r="F3" s="28" t="n">
        <x:v>5200000</x:v>
      </x:c>
      <x:c r="G3" s="30" t="n">
        <x:v>46055</x:v>
      </x:c>
      <x:c r="H3" s="30" t="n">
        <x:v>46374</x:v>
      </x:c>
      <x:c r="I3" s="26" t="str">
        <x:v>Procurement</x:v>
      </x:c>
      <x:c r="J3" s="32" t="n">
        <x:v>0.18</x:v>
      </x:c>
      <x:c r="K3" s="26" t="str">
        <x:v>Red</x:v>
      </x:c>
    </x:row>
    <x:row r="4">
      <x:c r="A4" s="26" t="str">
        <x:v>PRJ-003</x:v>
      </x:c>
      <x:c r="B4" s="26" t="str">
        <x:v>Chiriquí Road Asset Rehabilitation</x:v>
      </x:c>
      <x:c r="C4" s="26" t="str">
        <x:v>Chiriquí</x:v>
      </x:c>
      <x:c r="D4" s="26" t="str">
        <x:v>Road Rehabilitation</x:v>
      </x:c>
      <x:c r="E4" s="26" t="str">
        <x:v>Ana Castillo</x:v>
      </x:c>
      <x:c r="F4" s="28" t="n">
        <x:v>7800000</x:v>
      </x:c>
      <x:c r="G4" s="30" t="n">
        <x:v>46042</x:v>
      </x:c>
      <x:c r="H4" s="30" t="n">
        <x:v>46521</x:v>
      </x:c>
      <x:c r="I4" s="26" t="str">
        <x:v>Construction</x:v>
      </x:c>
      <x:c r="J4" s="32" t="n">
        <x:v>0.44</x:v>
      </x:c>
      <x:c r="K4" s="26" t="str">
        <x:v>Amber</x:v>
      </x:c>
    </x:row>
    <x:row r="5">
      <x:c r="A5" s="26" t="str">
        <x:v>PRJ-004</x:v>
      </x:c>
      <x:c r="B5" s="26" t="str">
        <x:v>Veraguas Bridge Maintenance Package</x:v>
      </x:c>
      <x:c r="C5" s="26" t="str">
        <x:v>Veraguas</x:v>
      </x:c>
      <x:c r="D5" s="26" t="str">
        <x:v>Bridge Maintenance</x:v>
      </x:c>
      <x:c r="E5" s="26" t="str">
        <x:v>Luis Herrera</x:v>
      </x:c>
      <x:c r="F5" s="28" t="n">
        <x:v>4100000</x:v>
      </x:c>
      <x:c r="G5" s="30" t="n">
        <x:v>46083</x:v>
      </x:c>
      <x:c r="H5" s="30" t="n">
        <x:v>46416</x:v>
      </x:c>
      <x:c r="I5" s="26" t="str">
        <x:v>Construction</x:v>
      </x:c>
      <x:c r="J5" s="32" t="n">
        <x:v>0.52</x:v>
      </x:c>
      <x:c r="K5" s="26" t="str">
        <x:v>Green</x:v>
      </x:c>
    </x:row>
    <x:row r="6">
      <x:c r="A6" s="26" t="str">
        <x:v>PRJ-005</x:v>
      </x:c>
      <x:c r="B6" s="26" t="str">
        <x:v>Coclé Rural Connectivity Works</x:v>
      </x:c>
      <x:c r="C6" s="26" t="str">
        <x:v>Coclé</x:v>
      </x:c>
      <x:c r="D6" s="26" t="str">
        <x:v>Rural Roads</x:v>
      </x:c>
      <x:c r="E6" s="26" t="str">
        <x:v>Sofía Ríos</x:v>
      </x:c>
      <x:c r="F6" s="28" t="n">
        <x:v>6100000</x:v>
      </x:c>
      <x:c r="G6" s="30" t="n">
        <x:v>46069</x:v>
      </x:c>
      <x:c r="H6" s="30" t="n">
        <x:v>46507</x:v>
      </x:c>
      <x:c r="I6" s="26" t="str">
        <x:v>Construction</x:v>
      </x:c>
      <x:c r="J6" s="32" t="n">
        <x:v>0.39</x:v>
      </x:c>
      <x:c r="K6" s="26" t="str">
        <x:v>Amber</x:v>
      </x:c>
    </x:row>
    <x:row r="7">
      <x:c r="A7" s="26" t="str">
        <x:v>PRJ-006</x:v>
      </x:c>
      <x:c r="B7" s="26" t="str">
        <x:v>Darién Climate-Resilient Access</x:v>
      </x:c>
      <x:c r="C7" s="26" t="str">
        <x:v>Darién</x:v>
      </x:c>
      <x:c r="D7" s="26" t="str">
        <x:v>Climate Resilience</x:v>
      </x:c>
      <x:c r="E7" s="26" t="str">
        <x:v>Jorge Batista</x:v>
      </x:c>
      <x:c r="F7" s="28" t="n">
        <x:v>7200000</x:v>
      </x:c>
      <x:c r="G7" s="30" t="n">
        <x:v>46118</x:v>
      </x:c>
      <x:c r="H7" s="30" t="n">
        <x:v>46626</x:v>
      </x:c>
      <x:c r="I7" s="26" t="str">
        <x:v>Design</x:v>
      </x:c>
      <x:c r="J7" s="32" t="n">
        <x:v>0.12</x:v>
      </x:c>
      <x:c r="K7" s="26" t="str">
        <x:v>Amber</x:v>
      </x:c>
    </x:row>
    <x:row r="8">
      <x:c r="A8" s="26" t="str">
        <x:v>PRJ-007</x:v>
      </x:c>
      <x:c r="B8" s="26" t="str">
        <x:v>Panamá Metro Area Road Safety</x:v>
      </x:c>
      <x:c r="C8" s="26" t="str">
        <x:v>Panamá</x:v>
      </x:c>
      <x:c r="D8" s="26" t="str">
        <x:v>Road Safety</x:v>
      </x:c>
      <x:c r="E8" s="26" t="str">
        <x:v>Elena Vega</x:v>
      </x:c>
      <x:c r="F8" s="28" t="n">
        <x:v>4900000</x:v>
      </x:c>
      <x:c r="G8" s="30" t="n">
        <x:v>46104</x:v>
      </x:c>
      <x:c r="H8" s="30" t="n">
        <x:v>46444</x:v>
      </x:c>
      <x:c r="I8" s="26" t="str">
        <x:v>Construction</x:v>
      </x:c>
      <x:c r="J8" s="32" t="n">
        <x:v>0.47</x:v>
      </x:c>
      <x:c r="K8" s="26" t="str">
        <x:v>Green</x:v>
      </x:c>
    </x:row>
    <x:row r="9">
      <x:c r="A9" s="26" t="str">
        <x:v>PRJ-008</x:v>
      </x:c>
      <x:c r="B9" s="26" t="str">
        <x:v>Bocas del Toro Drainage &amp; Road Works</x:v>
      </x:c>
      <x:c r="C9" s="26" t="str">
        <x:v>Bocas del Toro</x:v>
      </x:c>
      <x:c r="D9" s="26" t="str">
        <x:v>Drainage / Roads</x:v>
      </x:c>
      <x:c r="E9" s="26" t="str">
        <x:v>Ricardo Peña</x:v>
      </x:c>
      <x:c r="F9" s="28" t="n">
        <x:v>5500000</x:v>
      </x:c>
      <x:c r="G9" s="30" t="n">
        <x:v>46132</x:v>
      </x:c>
      <x:c r="H9" s="30" t="n">
        <x:v>46598</x:v>
      </x:c>
      <x:c r="I9" s="26" t="str">
        <x:v>Procurement</x:v>
      </x:c>
      <x:c r="J9" s="32" t="n">
        <x:v>0.15</x:v>
      </x:c>
      <x:c r="K9" s="26" t="str">
        <x:v>Red</x:v>
      </x:c>
    </x:row>
    <x:row r="10">
      <x:c r="A10" s="26" t="str">
        <x:v>PRJ-009</x:v>
      </x:c>
      <x:c r="B10" s="26" t="str">
        <x:v>Herrera Pavement Preservation</x:v>
      </x:c>
      <x:c r="C10" s="26" t="str">
        <x:v>Herrera</x:v>
      </x:c>
      <x:c r="D10" s="26" t="str">
        <x:v>Pavement Preservation</x:v>
      </x:c>
      <x:c r="E10" s="26" t="str">
        <x:v>Paola Díaz</x:v>
      </x:c>
      <x:c r="F10" s="28" t="n">
        <x:v>3800000</x:v>
      </x:c>
      <x:c r="G10" s="30" t="n">
        <x:v>46062</x:v>
      </x:c>
      <x:c r="H10" s="30" t="n">
        <x:v>46353</x:v>
      </x:c>
      <x:c r="I10" s="26" t="str">
        <x:v>Construction</x:v>
      </x:c>
      <x:c r="J10" s="32" t="n">
        <x:v>0.68</x:v>
      </x:c>
      <x:c r="K10" s="26" t="str">
        <x:v>Green</x:v>
      </x:c>
    </x:row>
    <x:row r="11">
      <x:c r="A11" s="26" t="str">
        <x:v>PRJ-010</x:v>
      </x:c>
      <x:c r="B11" s="26" t="str">
        <x:v>Los Santos Road Maintenance</x:v>
      </x:c>
      <x:c r="C11" s="26" t="str">
        <x:v>Los Santos</x:v>
      </x:c>
      <x:c r="D11" s="26" t="str">
        <x:v>Preventive Maintenance</x:v>
      </x:c>
      <x:c r="E11" s="26" t="str">
        <x:v>Miguel Soto</x:v>
      </x:c>
      <x:c r="F11" s="28" t="n">
        <x:v>3500000</x:v>
      </x:c>
      <x:c r="G11" s="30" t="n">
        <x:v>46090</x:v>
      </x:c>
      <x:c r="H11" s="30" t="n">
        <x:v>46402</x:v>
      </x:c>
      <x:c r="I11" s="26" t="str">
        <x:v>Construction</x:v>
      </x:c>
      <x:c r="J11" s="32" t="n">
        <x:v>0.55</x:v>
      </x:c>
      <x:c r="K11" s="26" t="str">
        <x:v>Green</x:v>
      </x:c>
    </x:row>
    <x:row r="12">
      <x:c r="A12" s="26" t="str">
        <x:v>PRJ-011</x:v>
      </x:c>
      <x:c r="B12" s="26" t="str">
        <x:v>National Road Asset Management Platform</x:v>
      </x:c>
      <x:c r="C12" s="26" t="str">
        <x:v>National</x:v>
      </x:c>
      <x:c r="D12" s="26" t="str">
        <x:v>Digital Platform</x:v>
      </x:c>
      <x:c r="E12" s="26" t="str">
        <x:v>Andrea Gómez</x:v>
      </x:c>
      <x:c r="F12" s="28" t="n">
        <x:v>6200000</x:v>
      </x:c>
      <x:c r="G12" s="30" t="n">
        <x:v>46027</x:v>
      </x:c>
      <x:c r="H12" s="30" t="n">
        <x:v>46568</x:v>
      </x:c>
      <x:c r="I12" s="26" t="str">
        <x:v>Implementation</x:v>
      </x:c>
      <x:c r="J12" s="32" t="n">
        <x:v>0.36</x:v>
      </x:c>
      <x:c r="K12" s="26" t="str">
        <x:v>Amber</x:v>
      </x:c>
    </x:row>
    <x:row r="13">
      <x:c r="A13" s="26" t="str">
        <x:v>PRJ-012</x:v>
      </x:c>
      <x:c r="B13" s="26" t="str">
        <x:v>Comarca Ngäbe-Buglé Access Improvements</x:v>
      </x:c>
      <x:c r="C13" s="26" t="str">
        <x:v>Ngäbe-Buglé</x:v>
      </x:c>
      <x:c r="D13" s="26" t="str">
        <x:v>Rural Roads</x:v>
      </x:c>
      <x:c r="E13" s="26" t="str">
        <x:v>Daniel Chan</x:v>
      </x:c>
      <x:c r="F13" s="28" t="n">
        <x:v>7200000</x:v>
      </x:c>
      <x:c r="G13" s="30" t="n">
        <x:v>46146</x:v>
      </x:c>
      <x:c r="H13" s="30" t="n">
        <x:v>46689</x:v>
      </x:c>
      <x:c r="I13" s="26" t="str">
        <x:v>Design</x:v>
      </x:c>
      <x:c r="J13" s="32" t="n">
        <x:v>0.09</x:v>
      </x:c>
      <x:c r="K13" s="26" t="str">
        <x:v>Red</x:v>
      </x:c>
    </x:row>
  </x:sheetData>
  <x:conditionalFormatting sqref="J2:J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{FBD53CE6-9EB0-9C14-93FC-0880309E4331}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56b16c8a287429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BD53CE6-9EB0-9C14-93FC-0880309E4331}">
            <x14:dataBar gradient="1">
              <x14:cfvo type="min"/>
              <x14:cfvo type="max"/>
              <x14:fillColor rgb="FFA02B93"/>
            </x14:dataBar>
          </x14:cfRule>
          <xm:sqref>J2:J13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22" hidden="0" customWidth="1"/>
    <x:col min="4" max="4" width="15" hidden="0" customWidth="1"/>
    <x:col min="5" max="5" width="15" hidden="0" customWidth="1"/>
    <x:col min="6" max="6" width="18" hidden="0" customWidth="1"/>
    <x:col min="7" max="7" width="14" hidden="0" customWidth="1"/>
    <x:col min="8" max="8" width="20" hidden="0" customWidth="1"/>
  </x:cols>
  <x:sheetData>
    <x:row r="1">
      <x:c r="A1" s="24" t="str">
        <x:v>Supplier ID</x:v>
      </x:c>
      <x:c r="B1" s="24" t="str">
        <x:v>Supplier Name</x:v>
      </x:c>
      <x:c r="C1" s="24" t="str">
        <x:v>Category</x:v>
      </x:c>
      <x:c r="D1" s="24" t="str">
        <x:v>Quality Score</x:v>
      </x:c>
      <x:c r="E1" s="24" t="str">
        <x:v>Delivery Score</x:v>
      </x:c>
      <x:c r="F1" s="24" t="str">
        <x:v>Compliance Score</x:v>
      </x:c>
      <x:c r="G1" s="24" t="str">
        <x:v>Overall Score</x:v>
      </x:c>
      <x:c r="H1" s="24" t="str">
        <x:v>Performance Status</x:v>
      </x:c>
    </x:row>
    <x:row r="2">
      <x:c r="A2" s="26" t="str">
        <x:v>SUP-001</x:v>
      </x:c>
      <x:c r="B2" s="26" t="str">
        <x:v>Istmo Vial, S.A.</x:v>
      </x:c>
      <x:c r="C2" s="26" t="str">
        <x:v>Civil Works</x:v>
      </x:c>
      <x:c r="D2" s="26" t="n">
        <x:v>82</x:v>
      </x:c>
      <x:c r="E2" s="26" t="n">
        <x:v>76</x:v>
      </x:c>
      <x:c r="F2" s="26" t="n">
        <x:v>90</x:v>
      </x:c>
      <x:c r="G2" s="26" t="n">
        <x:v>82.7</x:v>
      </x:c>
      <x:c r="H2" s="26" t="str">
        <x:v>Acceptable</x:v>
      </x:c>
    </x:row>
    <x:row r="3">
      <x:c r="A3" s="26" t="str">
        <x:v>SUP-002</x:v>
      </x:c>
      <x:c r="B3" s="26" t="str">
        <x:v>Constructora Pacífico</x:v>
      </x:c>
      <x:c r="C3" s="26" t="str">
        <x:v>Civil Works</x:v>
      </x:c>
      <x:c r="D3" s="26" t="n">
        <x:v>91</x:v>
      </x:c>
      <x:c r="E3" s="26" t="n">
        <x:v>88</x:v>
      </x:c>
      <x:c r="F3" s="26" t="n">
        <x:v>94</x:v>
      </x:c>
      <x:c r="G3" s="26" t="n">
        <x:v>91</x:v>
      </x:c>
      <x:c r="H3" s="26" t="str">
        <x:v>High Performing</x:v>
      </x:c>
    </x:row>
    <x:row r="4">
      <x:c r="A4" s="26" t="str">
        <x:v>SUP-003</x:v>
      </x:c>
      <x:c r="B4" s="26" t="str">
        <x:v>Infraestructura del Caribe</x:v>
      </x:c>
      <x:c r="C4" s="26" t="str">
        <x:v>Civil Works</x:v>
      </x:c>
      <x:c r="D4" s="26" t="n">
        <x:v>68</x:v>
      </x:c>
      <x:c r="E4" s="26" t="n">
        <x:v>62</x:v>
      </x:c>
      <x:c r="F4" s="26" t="n">
        <x:v>79</x:v>
      </x:c>
      <x:c r="G4" s="26" t="n">
        <x:v>69.7</x:v>
      </x:c>
      <x:c r="H4" s="26" t="str">
        <x:v>Needs Attention</x:v>
      </x:c>
    </x:row>
    <x:row r="5">
      <x:c r="A5" s="26" t="str">
        <x:v>SUP-004</x:v>
      </x:c>
      <x:c r="B5" s="26" t="str">
        <x:v>Puentes y Caminos Panamá</x:v>
      </x:c>
      <x:c r="C5" s="26" t="str">
        <x:v>Bridge Works</x:v>
      </x:c>
      <x:c r="D5" s="26" t="n">
        <x:v>86</x:v>
      </x:c>
      <x:c r="E5" s="26" t="n">
        <x:v>83</x:v>
      </x:c>
      <x:c r="F5" s="26" t="n">
        <x:v>92</x:v>
      </x:c>
      <x:c r="G5" s="26" t="n">
        <x:v>87</x:v>
      </x:c>
      <x:c r="H5" s="26" t="str">
        <x:v>Acceptable</x:v>
      </x:c>
    </x:row>
    <x:row r="6">
      <x:c r="A6" s="26" t="str">
        <x:v>SUP-005</x:v>
      </x:c>
      <x:c r="B6" s="26" t="str">
        <x:v>GeoRoad Engineering</x:v>
      </x:c>
      <x:c r="C6" s="26" t="str">
        <x:v>Engineering Services</x:v>
      </x:c>
      <x:c r="D6" s="26" t="n">
        <x:v>93</x:v>
      </x:c>
      <x:c r="E6" s="26" t="n">
        <x:v>91</x:v>
      </x:c>
      <x:c r="F6" s="26" t="n">
        <x:v>96</x:v>
      </x:c>
      <x:c r="G6" s="26" t="n">
        <x:v>93.3</x:v>
      </x:c>
      <x:c r="H6" s="26" t="str">
        <x:v>High Performing</x:v>
      </x:c>
    </x:row>
    <x:row r="7">
      <x:c r="A7" s="26" t="str">
        <x:v>SUP-006</x:v>
      </x:c>
      <x:c r="B7" s="26" t="str">
        <x:v>Servicios Viales del Sur</x:v>
      </x:c>
      <x:c r="C7" s="26" t="str">
        <x:v>Maintenance</x:v>
      </x:c>
      <x:c r="D7" s="26" t="n">
        <x:v>77</x:v>
      </x:c>
      <x:c r="E7" s="26" t="n">
        <x:v>71</x:v>
      </x:c>
      <x:c r="F7" s="26" t="n">
        <x:v>88</x:v>
      </x:c>
      <x:c r="G7" s="26" t="n">
        <x:v>78.7</x:v>
      </x:c>
      <x:c r="H7" s="26" t="str">
        <x:v>Acceptable</x:v>
      </x:c>
    </x:row>
    <x:row r="8">
      <x:c r="A8" s="26" t="str">
        <x:v>SUP-007</x:v>
      </x:c>
      <x:c r="B8" s="26" t="str">
        <x:v>Canal Digital Solutions</x:v>
      </x:c>
      <x:c r="C8" s="26" t="str">
        <x:v>Technology</x:v>
      </x:c>
      <x:c r="D8" s="26" t="n">
        <x:v>89</x:v>
      </x:c>
      <x:c r="E8" s="26" t="n">
        <x:v>92</x:v>
      </x:c>
      <x:c r="F8" s="26" t="n">
        <x:v>95</x:v>
      </x:c>
      <x:c r="G8" s="26" t="n">
        <x:v>92</x:v>
      </x:c>
      <x:c r="H8" s="26" t="str">
        <x:v>High Performing</x:v>
      </x:c>
    </x:row>
    <x:row r="9">
      <x:c r="A9" s="26" t="str">
        <x:v>SUP-008</x:v>
      </x:c>
      <x:c r="B9" s="26" t="str">
        <x:v>Drenajes Tropicales</x:v>
      </x:c>
      <x:c r="C9" s="26" t="str">
        <x:v>Drainage</x:v>
      </x:c>
      <x:c r="D9" s="26" t="n">
        <x:v>72</x:v>
      </x:c>
      <x:c r="E9" s="26" t="n">
        <x:v>66</x:v>
      </x:c>
      <x:c r="F9" s="26" t="n">
        <x:v>84</x:v>
      </x:c>
      <x:c r="G9" s="26" t="n">
        <x:v>74</x:v>
      </x:c>
      <x:c r="H9" s="26" t="str">
        <x:v>Needs Attention</x:v>
      </x:c>
    </x:row>
  </x:sheetData>
  <x:conditionalFormatting sqref="G2:G9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f837dd748eb47f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14" hidden="0" customWidth="1"/>
    <x:col min="9" max="9" width="10" hidden="0" customWidth="1"/>
  </x:cols>
  <x:sheetData>
    <x:row r="1">
      <x:c r="A1" s="24" t="str">
        <x:v>Procurement ID</x:v>
      </x:c>
      <x:c r="B1" s="24" t="str">
        <x:v>Project ID</x:v>
      </x:c>
      <x:c r="C1" s="24" t="str">
        <x:v>Package</x:v>
      </x:c>
      <x:c r="D1" s="24" t="str">
        <x:v>Estimated Value</x:v>
      </x:c>
      <x:c r="E1" s="24" t="str">
        <x:v>Planned Award Date</x:v>
      </x:c>
      <x:c r="F1" s="24" t="str">
        <x:v>Actual Award Date</x:v>
      </x:c>
      <x:c r="G1" s="24" t="str">
        <x:v>Status</x:v>
      </x:c>
      <x:c r="H1" s="24" t="str">
        <x:v>Days vs Plan</x:v>
      </x:c>
      <x:c r="I1" s="24" t="str">
        <x:v>RAG</x:v>
      </x:c>
    </x:row>
    <x:row r="2">
      <x:c r="A2" s="26" t="str">
        <x:v>PROC-001</x:v>
      </x:c>
      <x:c r="B2" s="26" t="str">
        <x:v>PRJ-001</x:v>
      </x:c>
      <x:c r="C2" s="26" t="str">
        <x:v>Package 1 - Road Rehabilitation</x:v>
      </x:c>
      <x:c r="D2" s="28" t="n">
        <x:v>2122000</x:v>
      </x:c>
      <x:c r="E2" s="30" t="n">
        <x:v>46216</x:v>
      </x:c>
      <x:c r="F2" s="30"/>
      <x:c r="G2" s="26" t="str">
        <x:v>Evaluation</x:v>
      </x:c>
      <x:c r="H2" s="26" t="n">
        <x:v>45</x:v>
      </x:c>
      <x:c r="I2" s="26" t="str">
        <x:v>Amber</x:v>
      </x:c>
    </x:row>
    <x:row r="3">
      <x:c r="A3" s="26" t="str">
        <x:v>PROC-002</x:v>
      </x:c>
      <x:c r="B3" s="26" t="str">
        <x:v>PRJ-001</x:v>
      </x:c>
      <x:c r="C3" s="26" t="str">
        <x:v>Package 2 - Road Rehabilitation</x:v>
      </x:c>
      <x:c r="D3" s="28" t="n">
        <x:v>2647000</x:v>
      </x:c>
      <x:c r="E3" s="30" t="n">
        <x:v>46087</x:v>
      </x:c>
      <x:c r="F3" s="30"/>
      <x:c r="G3" s="26" t="str">
        <x:v>Planning</x:v>
      </x:c>
      <x:c r="H3" s="26" t="n">
        <x:v>174</x:v>
      </x:c>
      <x:c r="I3" s="26" t="str">
        <x:v>Red</x:v>
      </x:c>
    </x:row>
    <x:row r="4">
      <x:c r="A4" s="26" t="str">
        <x:v>PROC-003</x:v>
      </x:c>
      <x:c r="B4" s="26" t="str">
        <x:v>PRJ-002</x:v>
      </x:c>
      <x:c r="C4" s="26" t="str">
        <x:v>Package 1 - Preventive Maintenance</x:v>
      </x:c>
      <x:c r="D4" s="28" t="n">
        <x:v>692000</x:v>
      </x:c>
      <x:c r="E4" s="30" t="n">
        <x:v>46175</x:v>
      </x:c>
      <x:c r="F4" s="30"/>
      <x:c r="G4" s="26" t="str">
        <x:v>Evaluation</x:v>
      </x:c>
      <x:c r="H4" s="26" t="n">
        <x:v>86</x:v>
      </x:c>
      <x:c r="I4" s="26" t="str">
        <x:v>Red</x:v>
      </x:c>
    </x:row>
    <x:row r="5">
      <x:c r="A5" s="26" t="str">
        <x:v>PROC-004</x:v>
      </x:c>
      <x:c r="B5" s="26" t="str">
        <x:v>PRJ-002</x:v>
      </x:c>
      <x:c r="C5" s="26" t="str">
        <x:v>Package 2 - Preventive Maintenance</x:v>
      </x:c>
      <x:c r="D5" s="28" t="n">
        <x:v>887000</x:v>
      </x:c>
      <x:c r="E5" s="30" t="n">
        <x:v>46140</x:v>
      </x:c>
      <x:c r="F5" s="30"/>
      <x:c r="G5" s="26" t="str">
        <x:v>Solicitation</x:v>
      </x:c>
      <x:c r="H5" s="26" t="n">
        <x:v>121</x:v>
      </x:c>
      <x:c r="I5" s="26" t="str">
        <x:v>Red</x:v>
      </x:c>
    </x:row>
    <x:row r="6">
      <x:c r="A6" s="26" t="str">
        <x:v>PROC-005</x:v>
      </x:c>
      <x:c r="B6" s="26" t="str">
        <x:v>PRJ-003</x:v>
      </x:c>
      <x:c r="C6" s="26" t="str">
        <x:v>Package 1 - Road Rehabilitation</x:v>
      </x:c>
      <x:c r="D6" s="28" t="n">
        <x:v>1323000</x:v>
      </x:c>
      <x:c r="E6" s="30" t="n">
        <x:v>46098</x:v>
      </x:c>
      <x:c r="F6" s="30" t="n">
        <x:v>46097</x:v>
      </x:c>
      <x:c r="G6" s="26" t="str">
        <x:v>Award</x:v>
      </x:c>
      <x:c r="H6" s="26" t="n">
        <x:v>-1</x:v>
      </x:c>
      <x:c r="I6" s="26" t="str">
        <x:v>Green</x:v>
      </x:c>
    </x:row>
    <x:row r="7">
      <x:c r="A7" s="26" t="str">
        <x:v>PROC-006</x:v>
      </x:c>
      <x:c r="B7" s="26" t="str">
        <x:v>PRJ-003</x:v>
      </x:c>
      <x:c r="C7" s="26" t="str">
        <x:v>Package 2 - Road Rehabilitation</x:v>
      </x:c>
      <x:c r="D7" s="28" t="n">
        <x:v>2074000</x:v>
      </x:c>
      <x:c r="E7" s="30" t="n">
        <x:v>46200</x:v>
      </x:c>
      <x:c r="F7" s="30" t="n">
        <x:v>46200</x:v>
      </x:c>
      <x:c r="G7" s="26" t="str">
        <x:v>Contracted</x:v>
      </x:c>
      <x:c r="H7" s="26" t="n">
        <x:v>0</x:v>
      </x:c>
      <x:c r="I7" s="26" t="str">
        <x:v>Green</x:v>
      </x:c>
    </x:row>
    <x:row r="8">
      <x:c r="A8" s="26" t="str">
        <x:v>PROC-007</x:v>
      </x:c>
      <x:c r="B8" s="26" t="str">
        <x:v>PRJ-004</x:v>
      </x:c>
      <x:c r="C8" s="26" t="str">
        <x:v>Package 1 - Bridge Maintenance</x:v>
      </x:c>
      <x:c r="D8" s="28" t="n">
        <x:v>993000</x:v>
      </x:c>
      <x:c r="E8" s="30" t="n">
        <x:v>46145</x:v>
      </x:c>
      <x:c r="F8" s="30" t="n">
        <x:v>46143</x:v>
      </x:c>
      <x:c r="G8" s="26" t="str">
        <x:v>Award</x:v>
      </x:c>
      <x:c r="H8" s="26" t="n">
        <x:v>-2</x:v>
      </x:c>
      <x:c r="I8" s="26" t="str">
        <x:v>Green</x:v>
      </x:c>
    </x:row>
    <x:row r="9">
      <x:c r="A9" s="26" t="str">
        <x:v>PROC-008</x:v>
      </x:c>
      <x:c r="B9" s="26" t="str">
        <x:v>PRJ-004</x:v>
      </x:c>
      <x:c r="C9" s="26" t="str">
        <x:v>Package 2 - Bridge Maintenance</x:v>
      </x:c>
      <x:c r="D9" s="28" t="n">
        <x:v>1031000</x:v>
      </x:c>
      <x:c r="E9" s="30" t="n">
        <x:v>46126</x:v>
      </x:c>
      <x:c r="F9" s="30"/>
      <x:c r="G9" s="26" t="str">
        <x:v>Planning</x:v>
      </x:c>
      <x:c r="H9" s="26" t="n">
        <x:v>135</x:v>
      </x:c>
      <x:c r="I9" s="26" t="str">
        <x:v>Red</x:v>
      </x:c>
    </x:row>
    <x:row r="10">
      <x:c r="A10" s="26" t="str">
        <x:v>PROC-009</x:v>
      </x:c>
      <x:c r="B10" s="26" t="str">
        <x:v>PRJ-005</x:v>
      </x:c>
      <x:c r="C10" s="26" t="str">
        <x:v>Package 1 - Rural Roads</x:v>
      </x:c>
      <x:c r="D10" s="28" t="n">
        <x:v>1763000</x:v>
      </x:c>
      <x:c r="E10" s="30" t="n">
        <x:v>46201</x:v>
      </x:c>
      <x:c r="F10" s="30" t="n">
        <x:v>46212</x:v>
      </x:c>
      <x:c r="G10" s="26" t="str">
        <x:v>Award</x:v>
      </x:c>
      <x:c r="H10" s="26" t="n">
        <x:v>11</x:v>
      </x:c>
      <x:c r="I10" s="26" t="str">
        <x:v>Green</x:v>
      </x:c>
    </x:row>
    <x:row r="11">
      <x:c r="A11" s="26" t="str">
        <x:v>PROC-010</x:v>
      </x:c>
      <x:c r="B11" s="26" t="str">
        <x:v>PRJ-005</x:v>
      </x:c>
      <x:c r="C11" s="26" t="str">
        <x:v>Package 2 - Rural Roads</x:v>
      </x:c>
      <x:c r="D11" s="28" t="n">
        <x:v>900000</x:v>
      </x:c>
      <x:c r="E11" s="30" t="n">
        <x:v>46123</x:v>
      </x:c>
      <x:c r="F11" s="30" t="n">
        <x:v>46132</x:v>
      </x:c>
      <x:c r="G11" s="26" t="str">
        <x:v>Contracted</x:v>
      </x:c>
      <x:c r="H11" s="26" t="n">
        <x:v>9</x:v>
      </x:c>
      <x:c r="I11" s="26" t="str">
        <x:v>Green</x:v>
      </x:c>
    </x:row>
    <x:row r="12">
      <x:c r="A12" s="26" t="str">
        <x:v>PROC-011</x:v>
      </x:c>
      <x:c r="B12" s="26" t="str">
        <x:v>PRJ-006</x:v>
      </x:c>
      <x:c r="C12" s="26" t="str">
        <x:v>Package 1 - Climate Resilience</x:v>
      </x:c>
      <x:c r="D12" s="28" t="n">
        <x:v>1878000</x:v>
      </x:c>
      <x:c r="E12" s="30" t="n">
        <x:v>46171</x:v>
      </x:c>
      <x:c r="F12" s="30"/>
      <x:c r="G12" s="26" t="str">
        <x:v>Solicitation</x:v>
      </x:c>
      <x:c r="H12" s="26" t="n">
        <x:v>90</x:v>
      </x:c>
      <x:c r="I12" s="26" t="str">
        <x:v>Red</x:v>
      </x:c>
    </x:row>
    <x:row r="13">
      <x:c r="A13" s="26" t="str">
        <x:v>PROC-012</x:v>
      </x:c>
      <x:c r="B13" s="26" t="str">
        <x:v>PRJ-006</x:v>
      </x:c>
      <x:c r="C13" s="26" t="str">
        <x:v>Package 2 - Climate Resilience</x:v>
      </x:c>
      <x:c r="D13" s="28" t="n">
        <x:v>1006000</x:v>
      </x:c>
      <x:c r="E13" s="30" t="n">
        <x:v>46137</x:v>
      </x:c>
      <x:c r="F13" s="30"/>
      <x:c r="G13" s="26" t="str">
        <x:v>Evaluation</x:v>
      </x:c>
      <x:c r="H13" s="26" t="n">
        <x:v>124</x:v>
      </x:c>
      <x:c r="I13" s="26" t="str">
        <x:v>Red</x:v>
      </x:c>
    </x:row>
    <x:row r="14">
      <x:c r="A14" s="26" t="str">
        <x:v>PROC-013</x:v>
      </x:c>
      <x:c r="B14" s="26" t="str">
        <x:v>PRJ-007</x:v>
      </x:c>
      <x:c r="C14" s="26" t="str">
        <x:v>Package 1 - Road Safety</x:v>
      </x:c>
      <x:c r="D14" s="28" t="n">
        <x:v>1481000</x:v>
      </x:c>
      <x:c r="E14" s="30" t="n">
        <x:v>46046</x:v>
      </x:c>
      <x:c r="F14" s="30" t="n">
        <x:v>46046</x:v>
      </x:c>
      <x:c r="G14" s="26" t="str">
        <x:v>Contracted</x:v>
      </x:c>
      <x:c r="H14" s="26" t="n">
        <x:v>0</x:v>
      </x:c>
      <x:c r="I14" s="26" t="str">
        <x:v>Green</x:v>
      </x:c>
    </x:row>
    <x:row r="15">
      <x:c r="A15" s="26" t="str">
        <x:v>PROC-014</x:v>
      </x:c>
      <x:c r="B15" s="26" t="str">
        <x:v>PRJ-007</x:v>
      </x:c>
      <x:c r="C15" s="26" t="str">
        <x:v>Package 2 - Road Safety</x:v>
      </x:c>
      <x:c r="D15" s="28" t="n">
        <x:v>755000</x:v>
      </x:c>
      <x:c r="E15" s="30" t="n">
        <x:v>46218</x:v>
      </x:c>
      <x:c r="F15" s="30"/>
      <x:c r="G15" s="26" t="str">
        <x:v>Solicitation</x:v>
      </x:c>
      <x:c r="H15" s="26" t="n">
        <x:v>43</x:v>
      </x:c>
      <x:c r="I15" s="26" t="str">
        <x:v>Amber</x:v>
      </x:c>
    </x:row>
    <x:row r="16">
      <x:c r="A16" s="26" t="str">
        <x:v>PROC-015</x:v>
      </x:c>
      <x:c r="B16" s="26" t="str">
        <x:v>PRJ-008</x:v>
      </x:c>
      <x:c r="C16" s="26" t="str">
        <x:v>Package 1 - Drainage / Roads</x:v>
      </x:c>
      <x:c r="D16" s="28" t="n">
        <x:v>952000</x:v>
      </x:c>
      <x:c r="E16" s="30" t="n">
        <x:v>46050</x:v>
      </x:c>
      <x:c r="F16" s="30"/>
      <x:c r="G16" s="26" t="str">
        <x:v>Solicitation</x:v>
      </x:c>
      <x:c r="H16" s="26" t="n">
        <x:v>211</x:v>
      </x:c>
      <x:c r="I16" s="26" t="str">
        <x:v>Red</x:v>
      </x:c>
    </x:row>
    <x:row r="17">
      <x:c r="A17" s="26" t="str">
        <x:v>PROC-016</x:v>
      </x:c>
      <x:c r="B17" s="26" t="str">
        <x:v>PRJ-008</x:v>
      </x:c>
      <x:c r="C17" s="26" t="str">
        <x:v>Package 2 - Drainage / Roads</x:v>
      </x:c>
      <x:c r="D17" s="28" t="n">
        <x:v>1733000</x:v>
      </x:c>
      <x:c r="E17" s="30" t="n">
        <x:v>46203</x:v>
      </x:c>
      <x:c r="F17" s="30"/>
      <x:c r="G17" s="26" t="str">
        <x:v>Planning</x:v>
      </x:c>
      <x:c r="H17" s="26" t="n">
        <x:v>58</x:v>
      </x:c>
      <x:c r="I17" s="26" t="str">
        <x:v>Red</x:v>
      </x:c>
    </x:row>
    <x:row r="18">
      <x:c r="A18" s="26" t="str">
        <x:v>PROC-017</x:v>
      </x:c>
      <x:c r="B18" s="26" t="str">
        <x:v>PRJ-009</x:v>
      </x:c>
      <x:c r="C18" s="26" t="str">
        <x:v>Package 1 - Pavement Preservation</x:v>
      </x:c>
      <x:c r="D18" s="28" t="n">
        <x:v>800000</x:v>
      </x:c>
      <x:c r="E18" s="30" t="n">
        <x:v>46075</x:v>
      </x:c>
      <x:c r="F18" s="30"/>
      <x:c r="G18" s="26" t="str">
        <x:v>Evaluation</x:v>
      </x:c>
      <x:c r="H18" s="26" t="n">
        <x:v>186</x:v>
      </x:c>
      <x:c r="I18" s="26" t="str">
        <x:v>Red</x:v>
      </x:c>
    </x:row>
    <x:row r="19">
      <x:c r="A19" s="26" t="str">
        <x:v>PROC-018</x:v>
      </x:c>
      <x:c r="B19" s="26" t="str">
        <x:v>PRJ-009</x:v>
      </x:c>
      <x:c r="C19" s="26" t="str">
        <x:v>Package 2 - Pavement Preservation</x:v>
      </x:c>
      <x:c r="D19" s="28" t="n">
        <x:v>1132000</x:v>
      </x:c>
      <x:c r="E19" s="30" t="n">
        <x:v>46184</x:v>
      </x:c>
      <x:c r="F19" s="30" t="n">
        <x:v>46183</x:v>
      </x:c>
      <x:c r="G19" s="26" t="str">
        <x:v>Award</x:v>
      </x:c>
      <x:c r="H19" s="26" t="n">
        <x:v>-1</x:v>
      </x:c>
      <x:c r="I19" s="26" t="str">
        <x:v>Green</x:v>
      </x:c>
    </x:row>
    <x:row r="20">
      <x:c r="A20" s="26" t="str">
        <x:v>PROC-019</x:v>
      </x:c>
      <x:c r="B20" s="26" t="str">
        <x:v>PRJ-010</x:v>
      </x:c>
      <x:c r="C20" s="26" t="str">
        <x:v>Package 1 - Preventive Maintenance</x:v>
      </x:c>
      <x:c r="D20" s="28" t="n">
        <x:v>636000</x:v>
      </x:c>
      <x:c r="E20" s="30" t="n">
        <x:v>46149</x:v>
      </x:c>
      <x:c r="F20" s="30" t="n">
        <x:v>46166</x:v>
      </x:c>
      <x:c r="G20" s="26" t="str">
        <x:v>Award</x:v>
      </x:c>
      <x:c r="H20" s="26" t="n">
        <x:v>17</x:v>
      </x:c>
      <x:c r="I20" s="26" t="str">
        <x:v>Green</x:v>
      </x:c>
    </x:row>
    <x:row r="21">
      <x:c r="A21" s="26" t="str">
        <x:v>PROC-020</x:v>
      </x:c>
      <x:c r="B21" s="26" t="str">
        <x:v>PRJ-010</x:v>
      </x:c>
      <x:c r="C21" s="26" t="str">
        <x:v>Package 2 - Preventive Maintenance</x:v>
      </x:c>
      <x:c r="D21" s="28" t="n">
        <x:v>429000</x:v>
      </x:c>
      <x:c r="E21" s="30" t="n">
        <x:v>46077</x:v>
      </x:c>
      <x:c r="F21" s="30"/>
      <x:c r="G21" s="26" t="str">
        <x:v>Evaluation</x:v>
      </x:c>
      <x:c r="H21" s="26" t="n">
        <x:v>184</x:v>
      </x:c>
      <x:c r="I21" s="26" t="str">
        <x:v>Red</x:v>
      </x:c>
    </x:row>
    <x:row r="22">
      <x:c r="A22" s="26" t="str">
        <x:v>PROC-021</x:v>
      </x:c>
      <x:c r="B22" s="26" t="str">
        <x:v>PRJ-011</x:v>
      </x:c>
      <x:c r="C22" s="26" t="str">
        <x:v>Package 1 - Digital Platform</x:v>
      </x:c>
      <x:c r="D22" s="28" t="n">
        <x:v>964000</x:v>
      </x:c>
      <x:c r="E22" s="30" t="n">
        <x:v>46128</x:v>
      </x:c>
      <x:c r="F22" s="30" t="n">
        <x:v>46126</x:v>
      </x:c>
      <x:c r="G22" s="26" t="str">
        <x:v>Contracted</x:v>
      </x:c>
      <x:c r="H22" s="26" t="n">
        <x:v>-2</x:v>
      </x:c>
      <x:c r="I22" s="26" t="str">
        <x:v>Green</x:v>
      </x:c>
    </x:row>
    <x:row r="23">
      <x:c r="A23" s="26" t="str">
        <x:v>PROC-022</x:v>
      </x:c>
      <x:c r="B23" s="26" t="str">
        <x:v>PRJ-011</x:v>
      </x:c>
      <x:c r="C23" s="26" t="str">
        <x:v>Package 2 - Digital Platform</x:v>
      </x:c>
      <x:c r="D23" s="28" t="n">
        <x:v>1386000</x:v>
      </x:c>
      <x:c r="E23" s="30" t="n">
        <x:v>46080</x:v>
      </x:c>
      <x:c r="F23" s="30"/>
      <x:c r="G23" s="26" t="str">
        <x:v>Solicitation</x:v>
      </x:c>
      <x:c r="H23" s="26" t="n">
        <x:v>181</x:v>
      </x:c>
      <x:c r="I23" s="26" t="str">
        <x:v>Red</x:v>
      </x:c>
    </x:row>
    <x:row r="24">
      <x:c r="A24" s="26" t="str">
        <x:v>PROC-023</x:v>
      </x:c>
      <x:c r="B24" s="26" t="str">
        <x:v>PRJ-012</x:v>
      </x:c>
      <x:c r="C24" s="26" t="str">
        <x:v>Package 1 - Rural Roads</x:v>
      </x:c>
      <x:c r="D24" s="28" t="n">
        <x:v>1965000</x:v>
      </x:c>
      <x:c r="E24" s="30" t="n">
        <x:v>46162</x:v>
      </x:c>
      <x:c r="F24" s="30" t="n">
        <x:v>46162</x:v>
      </x:c>
      <x:c r="G24" s="26" t="str">
        <x:v>Contracted</x:v>
      </x:c>
      <x:c r="H24" s="26" t="n">
        <x:v>0</x:v>
      </x:c>
      <x:c r="I24" s="26" t="str">
        <x:v>Green</x:v>
      </x:c>
    </x:row>
    <x:row r="25">
      <x:c r="A25" s="26" t="str">
        <x:v>PROC-024</x:v>
      </x:c>
      <x:c r="B25" s="26" t="str">
        <x:v>PRJ-012</x:v>
      </x:c>
      <x:c r="C25" s="26" t="str">
        <x:v>Package 2 - Rural Roads</x:v>
      </x:c>
      <x:c r="D25" s="28" t="n">
        <x:v>1346000</x:v>
      </x:c>
      <x:c r="E25" s="30" t="n">
        <x:v>46051</x:v>
      </x:c>
      <x:c r="F25" s="30" t="n">
        <x:v>46067</x:v>
      </x:c>
      <x:c r="G25" s="26" t="str">
        <x:v>Award</x:v>
      </x:c>
      <x:c r="H25" s="26" t="n">
        <x:v>16</x:v>
      </x:c>
      <x:c r="I25" s="26" t="str">
        <x:v>Green</x:v>
      </x:c>
    </x:row>
  </x:sheetData>
  <x:pageMargins left="0.7" right="0.7" top="0.75" bottom="0.75" header="0.3" footer="0.3"/>
  <x:tableParts count="1">
    <x:tablePart xmlns:r="http://schemas.openxmlformats.org/officeDocument/2006/relationships" r:id="Ra09241874a6a41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9" hidden="0" customWidth="1"/>
    <x:col min="5" max="5" width="17" hidden="0" customWidth="1"/>
    <x:col min="6" max="6" width="15" hidden="0" customWidth="1"/>
    <x:col min="7" max="7" width="15" hidden="0" customWidth="1"/>
    <x:col min="8" max="8" width="21" hidden="0" customWidth="1"/>
    <x:col min="9" max="9" width="18" hidden="0" customWidth="1"/>
    <x:col min="10" max="10" width="15" hidden="0" customWidth="1"/>
    <x:col min="11" max="11" width="15" hidden="0" customWidth="1"/>
    <x:col min="12" max="12" width="14" hidden="0" customWidth="1"/>
  </x:cols>
  <x:sheetData>
    <x:row r="1">
      <x:c r="A1" s="24" t="str">
        <x:v>Contract ID</x:v>
      </x:c>
      <x:c r="B1" s="24" t="str">
        <x:v>Project ID</x:v>
      </x:c>
      <x:c r="C1" s="24" t="str">
        <x:v>Supplier ID</x:v>
      </x:c>
      <x:c r="D1" s="24" t="str">
        <x:v>Supplier Name</x:v>
      </x:c>
      <x:c r="E1" s="24" t="str">
        <x:v>Contract Value</x:v>
      </x:c>
      <x:c r="F1" s="24" t="str">
        <x:v>Committed</x:v>
      </x:c>
      <x:c r="G1" s="24" t="str">
        <x:v>Actual Spend</x:v>
      </x:c>
      <x:c r="H1" s="24" t="str">
        <x:v>Forecast at Completion</x:v>
      </x:c>
      <x:c r="I1" s="24" t="str">
        <x:v>Forecast Variance</x:v>
      </x:c>
      <x:c r="J1" s="24" t="str">
        <x:v>Contract Start</x:v>
      </x:c>
      <x:c r="K1" s="24" t="str">
        <x:v>Contract End</x:v>
      </x:c>
      <x:c r="L1" s="24" t="str">
        <x:v>Status</x:v>
      </x:c>
    </x:row>
    <x:row r="2">
      <x:c r="A2" s="26" t="str">
        <x:v>CON-001</x:v>
      </x:c>
      <x:c r="B2" s="26" t="str">
        <x:v>PRJ-001</x:v>
      </x:c>
      <x:c r="C2" s="26" t="str">
        <x:v>SUP-001</x:v>
      </x:c>
      <x:c r="D2" s="26" t="str">
        <x:v>Istmo Vial, S.A.</x:v>
      </x:c>
      <x:c r="E2" s="28" t="n">
        <x:v>5609000</x:v>
      </x:c>
      <x:c r="F2" s="28" t="n">
        <x:v>3847000</x:v>
      </x:c>
      <x:c r="G2" s="28" t="n">
        <x:v>3110000</x:v>
      </x:c>
      <x:c r="H2" s="28" t="n">
        <x:v>6130000</x:v>
      </x:c>
      <x:c r="I2" s="28" t="n">
        <x:v>521000</x:v>
      </x:c>
      <x:c r="J2" s="30" t="n">
        <x:v>46063</x:v>
      </x:c>
      <x:c r="K2" s="30" t="n">
        <x:v>46477</x:v>
      </x:c>
      <x:c r="L2" s="26" t="str">
        <x:v>At Risk</x:v>
      </x:c>
    </x:row>
    <x:row r="3">
      <x:c r="A3" s="26" t="str">
        <x:v>CON-002</x:v>
      </x:c>
      <x:c r="B3" s="26" t="str">
        <x:v>PRJ-002</x:v>
      </x:c>
      <x:c r="C3" s="26" t="str">
        <x:v>SUP-002</x:v>
      </x:c>
      <x:c r="D3" s="26" t="str">
        <x:v>Constructora Pacífico</x:v>
      </x:c>
      <x:c r="E3" s="28" t="n">
        <x:v>2481000</x:v>
      </x:c>
      <x:c r="F3" s="28" t="n">
        <x:v>1874000</x:v>
      </x:c>
      <x:c r="G3" s="28" t="n">
        <x:v>1083000</x:v>
      </x:c>
      <x:c r="H3" s="28" t="n">
        <x:v>2396000</x:v>
      </x:c>
      <x:c r="I3" s="28" t="n">
        <x:v>-85000</x:v>
      </x:c>
      <x:c r="J3" s="30" t="n">
        <x:v>46072</x:v>
      </x:c>
      <x:c r="K3" s="30" t="n">
        <x:v>46374</x:v>
      </x:c>
      <x:c r="L3" s="26" t="str">
        <x:v>On Track</x:v>
      </x:c>
    </x:row>
    <x:row r="4">
      <x:c r="A4" s="26" t="str">
        <x:v>CON-003</x:v>
      </x:c>
      <x:c r="B4" s="26" t="str">
        <x:v>PRJ-003</x:v>
      </x:c>
      <x:c r="C4" s="26" t="str">
        <x:v>SUP-003</x:v>
      </x:c>
      <x:c r="D4" s="26" t="str">
        <x:v>Infraestructura del Caribe</x:v>
      </x:c>
      <x:c r="E4" s="28" t="n">
        <x:v>3568000</x:v>
      </x:c>
      <x:c r="F4" s="28" t="n">
        <x:v>2420000</x:v>
      </x:c>
      <x:c r="G4" s="28" t="n">
        <x:v>2052000</x:v>
      </x:c>
      <x:c r="H4" s="28" t="n">
        <x:v>3729000</x:v>
      </x:c>
      <x:c r="I4" s="28" t="n">
        <x:v>161000</x:v>
      </x:c>
      <x:c r="J4" s="30" t="n">
        <x:v>46081</x:v>
      </x:c>
      <x:c r="K4" s="30" t="n">
        <x:v>46521</x:v>
      </x:c>
      <x:c r="L4" s="26" t="str">
        <x:v>On Track</x:v>
      </x:c>
    </x:row>
    <x:row r="5">
      <x:c r="A5" s="26" t="str">
        <x:v>CON-004</x:v>
      </x:c>
      <x:c r="B5" s="26" t="str">
        <x:v>PRJ-004</x:v>
      </x:c>
      <x:c r="C5" s="26" t="str">
        <x:v>SUP-004</x:v>
      </x:c>
      <x:c r="D5" s="26" t="str">
        <x:v>Puentes y Caminos Panamá</x:v>
      </x:c>
      <x:c r="E5" s="28" t="n">
        <x:v>2579000</x:v>
      </x:c>
      <x:c r="F5" s="28" t="n">
        <x:v>2543000</x:v>
      </x:c>
      <x:c r="G5" s="28" t="n">
        <x:v>1283000</x:v>
      </x:c>
      <x:c r="H5" s="28" t="n">
        <x:v>2760000</x:v>
      </x:c>
      <x:c r="I5" s="28" t="n">
        <x:v>181000</x:v>
      </x:c>
      <x:c r="J5" s="30" t="n">
        <x:v>46090</x:v>
      </x:c>
      <x:c r="K5" s="30" t="n">
        <x:v>46416</x:v>
      </x:c>
      <x:c r="L5" s="26" t="str">
        <x:v>On Track</x:v>
      </x:c>
    </x:row>
    <x:row r="6">
      <x:c r="A6" s="26" t="str">
        <x:v>CON-005</x:v>
      </x:c>
      <x:c r="B6" s="26" t="str">
        <x:v>PRJ-005</x:v>
      </x:c>
      <x:c r="C6" s="26" t="str">
        <x:v>SUP-005</x:v>
      </x:c>
      <x:c r="D6" s="26" t="str">
        <x:v>GeoRoad Engineering</x:v>
      </x:c>
      <x:c r="E6" s="28" t="n">
        <x:v>3496000</x:v>
      </x:c>
      <x:c r="F6" s="28" t="n">
        <x:v>2221000</x:v>
      </x:c>
      <x:c r="G6" s="28" t="n">
        <x:v>1699000</x:v>
      </x:c>
      <x:c r="H6" s="28" t="n">
        <x:v>3944000</x:v>
      </x:c>
      <x:c r="I6" s="28" t="n">
        <x:v>448000</x:v>
      </x:c>
      <x:c r="J6" s="30" t="n">
        <x:v>46099</x:v>
      </x:c>
      <x:c r="K6" s="30" t="n">
        <x:v>46507</x:v>
      </x:c>
      <x:c r="L6" s="26" t="str">
        <x:v>At Risk</x:v>
      </x:c>
    </x:row>
    <x:row r="7">
      <x:c r="A7" s="26" t="str">
        <x:v>CON-006</x:v>
      </x:c>
      <x:c r="B7" s="26" t="str">
        <x:v>PRJ-006</x:v>
      </x:c>
      <x:c r="C7" s="26" t="str">
        <x:v>SUP-006</x:v>
      </x:c>
      <x:c r="D7" s="26" t="str">
        <x:v>Servicios Viales del Sur</x:v>
      </x:c>
      <x:c r="E7" s="28" t="n">
        <x:v>3316000</x:v>
      </x:c>
      <x:c r="F7" s="28" t="n">
        <x:v>2455000</x:v>
      </x:c>
      <x:c r="G7" s="28" t="n">
        <x:v>1929000</x:v>
      </x:c>
      <x:c r="H7" s="28" t="n">
        <x:v>3654000</x:v>
      </x:c>
      <x:c r="I7" s="28" t="n">
        <x:v>338000</x:v>
      </x:c>
      <x:c r="J7" s="30" t="n">
        <x:v>46108</x:v>
      </x:c>
      <x:c r="K7" s="30" t="n">
        <x:v>46626</x:v>
      </x:c>
      <x:c r="L7" s="26" t="str">
        <x:v>At Risk</x:v>
      </x:c>
    </x:row>
    <x:row r="8">
      <x:c r="A8" s="26" t="str">
        <x:v>CON-007</x:v>
      </x:c>
      <x:c r="B8" s="26" t="str">
        <x:v>PRJ-007</x:v>
      </x:c>
      <x:c r="C8" s="26" t="str">
        <x:v>SUP-007</x:v>
      </x:c>
      <x:c r="D8" s="26" t="str">
        <x:v>Canal Digital Solutions</x:v>
      </x:c>
      <x:c r="E8" s="28" t="n">
        <x:v>2497000</x:v>
      </x:c>
      <x:c r="F8" s="28" t="n">
        <x:v>2451000</x:v>
      </x:c>
      <x:c r="G8" s="28" t="n">
        <x:v>1491000</x:v>
      </x:c>
      <x:c r="H8" s="28" t="n">
        <x:v>2355000</x:v>
      </x:c>
      <x:c r="I8" s="28" t="n">
        <x:v>-142000</x:v>
      </x:c>
      <x:c r="J8" s="30" t="n">
        <x:v>46117</x:v>
      </x:c>
      <x:c r="K8" s="30" t="n">
        <x:v>46444</x:v>
      </x:c>
      <x:c r="L8" s="26" t="str">
        <x:v>On Track</x:v>
      </x:c>
    </x:row>
    <x:row r="9">
      <x:c r="A9" s="26" t="str">
        <x:v>CON-008</x:v>
      </x:c>
      <x:c r="B9" s="26" t="str">
        <x:v>PRJ-008</x:v>
      </x:c>
      <x:c r="C9" s="26" t="str">
        <x:v>SUP-008</x:v>
      </x:c>
      <x:c r="D9" s="26" t="str">
        <x:v>Drenajes Tropicales</x:v>
      </x:c>
      <x:c r="E9" s="28" t="n">
        <x:v>2820000</x:v>
      </x:c>
      <x:c r="F9" s="28" t="n">
        <x:v>2034000</x:v>
      </x:c>
      <x:c r="G9" s="28" t="n">
        <x:v>1822000</x:v>
      </x:c>
      <x:c r="H9" s="28" t="n">
        <x:v>3114000</x:v>
      </x:c>
      <x:c r="I9" s="28" t="n">
        <x:v>294000</x:v>
      </x:c>
      <x:c r="J9" s="30" t="n">
        <x:v>46126</x:v>
      </x:c>
      <x:c r="K9" s="30" t="n">
        <x:v>46598</x:v>
      </x:c>
      <x:c r="L9" s="26" t="str">
        <x:v>At Risk</x:v>
      </x:c>
    </x:row>
    <x:row r="10">
      <x:c r="A10" s="26" t="str">
        <x:v>CON-009</x:v>
      </x:c>
      <x:c r="B10" s="26" t="str">
        <x:v>PRJ-009</x:v>
      </x:c>
      <x:c r="C10" s="26" t="str">
        <x:v>SUP-001</x:v>
      </x:c>
      <x:c r="D10" s="26" t="str">
        <x:v>Istmo Vial, S.A.</x:v>
      </x:c>
      <x:c r="E10" s="28" t="n">
        <x:v>2752000</x:v>
      </x:c>
      <x:c r="F10" s="28" t="n">
        <x:v>2537000</x:v>
      </x:c>
      <x:c r="G10" s="28" t="n">
        <x:v>1213000</x:v>
      </x:c>
      <x:c r="H10" s="28" t="n">
        <x:v>3183000</x:v>
      </x:c>
      <x:c r="I10" s="28" t="n">
        <x:v>431000</x:v>
      </x:c>
      <x:c r="J10" s="30" t="n">
        <x:v>46135</x:v>
      </x:c>
      <x:c r="K10" s="30" t="n">
        <x:v>46353</x:v>
      </x:c>
      <x:c r="L10" s="26" t="str">
        <x:v>At Risk</x:v>
      </x:c>
    </x:row>
    <x:row r="11">
      <x:c r="A11" s="26" t="str">
        <x:v>CON-010</x:v>
      </x:c>
      <x:c r="B11" s="26" t="str">
        <x:v>PRJ-010</x:v>
      </x:c>
      <x:c r="C11" s="26" t="str">
        <x:v>SUP-002</x:v>
      </x:c>
      <x:c r="D11" s="26" t="str">
        <x:v>Constructora Pacífico</x:v>
      </x:c>
      <x:c r="E11" s="28" t="n">
        <x:v>1624000</x:v>
      </x:c>
      <x:c r="F11" s="28" t="n">
        <x:v>939000</x:v>
      </x:c>
      <x:c r="G11" s="28" t="n">
        <x:v>456000</x:v>
      </x:c>
      <x:c r="H11" s="28" t="n">
        <x:v>1610000</x:v>
      </x:c>
      <x:c r="I11" s="28" t="n">
        <x:v>-14000</x:v>
      </x:c>
      <x:c r="J11" s="30" t="n">
        <x:v>46144</x:v>
      </x:c>
      <x:c r="K11" s="30" t="n">
        <x:v>46402</x:v>
      </x:c>
      <x:c r="L11" s="26" t="str">
        <x:v>On Track</x:v>
      </x:c>
    </x:row>
    <x:row r="12">
      <x:c r="A12" s="26" t="str">
        <x:v>CON-011</x:v>
      </x:c>
      <x:c r="B12" s="26" t="str">
        <x:v>PRJ-011</x:v>
      </x:c>
      <x:c r="C12" s="26" t="str">
        <x:v>SUP-003</x:v>
      </x:c>
      <x:c r="D12" s="26" t="str">
        <x:v>Infraestructura del Caribe</x:v>
      </x:c>
      <x:c r="E12" s="28" t="n">
        <x:v>4734000</x:v>
      </x:c>
      <x:c r="F12" s="28" t="n">
        <x:v>3892000</x:v>
      </x:c>
      <x:c r="G12" s="28" t="n">
        <x:v>2588000</x:v>
      </x:c>
      <x:c r="H12" s="28" t="n">
        <x:v>4692000</x:v>
      </x:c>
      <x:c r="I12" s="28" t="n">
        <x:v>-42000</x:v>
      </x:c>
      <x:c r="J12" s="30" t="n">
        <x:v>46153</x:v>
      </x:c>
      <x:c r="K12" s="30" t="n">
        <x:v>46568</x:v>
      </x:c>
      <x:c r="L12" s="26" t="str">
        <x:v>On Track</x:v>
      </x:c>
    </x:row>
    <x:row r="13">
      <x:c r="A13" s="26" t="str">
        <x:v>CON-012</x:v>
      </x:c>
      <x:c r="B13" s="26" t="str">
        <x:v>PRJ-012</x:v>
      </x:c>
      <x:c r="C13" s="26" t="str">
        <x:v>SUP-004</x:v>
      </x:c>
      <x:c r="D13" s="26" t="str">
        <x:v>Puentes y Caminos Panamá</x:v>
      </x:c>
      <x:c r="E13" s="28" t="n">
        <x:v>4116000</x:v>
      </x:c>
      <x:c r="F13" s="28" t="n">
        <x:v>2783000</x:v>
      </x:c>
      <x:c r="G13" s="28" t="n">
        <x:v>2078000</x:v>
      </x:c>
      <x:c r="H13" s="28" t="n">
        <x:v>4015000</x:v>
      </x:c>
      <x:c r="I13" s="28" t="n">
        <x:v>-101000</x:v>
      </x:c>
      <x:c r="J13" s="30" t="n">
        <x:v>46162</x:v>
      </x:c>
      <x:c r="K13" s="30" t="n">
        <x:v>46689</x:v>
      </x:c>
      <x:c r="L13" s="26" t="str">
        <x:v>On Track</x:v>
      </x:c>
    </x:row>
  </x:sheetData>
  <x:pageMargins left="0.7" right="0.7" top="0.75" bottom="0.75" header="0.3" footer="0.3"/>
  <x:tableParts count="1">
    <x:tablePart xmlns:r="http://schemas.openxmlformats.org/officeDocument/2006/relationships" r:id="R6a6b1fffe07d41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30" hidden="0" customWidth="1"/>
    <x:col min="4" max="4" width="16" hidden="0" customWidth="1"/>
    <x:col min="5" max="5" width="16" hidden="0" customWidth="1"/>
    <x:col min="6" max="6" width="14" hidden="0" customWidth="1"/>
    <x:col min="7" max="7" width="22" hidden="0" customWidth="1"/>
  </x:cols>
  <x:sheetData>
    <x:row r="1">
      <x:c r="A1" s="24" t="str">
        <x:v>Milestone ID</x:v>
      </x:c>
      <x:c r="B1" s="24" t="str">
        <x:v>Project ID</x:v>
      </x:c>
      <x:c r="C1" s="24" t="str">
        <x:v>Milestone</x:v>
      </x:c>
      <x:c r="D1" s="24" t="str">
        <x:v>Planned Date</x:v>
      </x:c>
      <x:c r="E1" s="24" t="str">
        <x:v>Actual Date</x:v>
      </x:c>
      <x:c r="F1" s="24" t="str">
        <x:v>Status</x:v>
      </x:c>
      <x:c r="G1" s="24" t="str">
        <x:v>Days Variance / Overdue</x:v>
      </x:c>
    </x:row>
    <x:row r="2">
      <x:c r="A2" s="26" t="str">
        <x:v>MIL-001</x:v>
      </x:c>
      <x:c r="B2" s="26" t="str">
        <x:v>PRJ-001</x:v>
      </x:c>
      <x:c r="C2" s="26" t="str">
        <x:v>Design Complete</x:v>
      </x:c>
      <x:c r="D2" s="30" t="n">
        <x:v>46124</x:v>
      </x:c>
      <x:c r="E2" s="30"/>
      <x:c r="F2" s="26" t="str">
        <x:v>Overdue</x:v>
      </x:c>
      <x:c r="G2" s="26" t="n">
        <x:v>137</x:v>
      </x:c>
    </x:row>
    <x:row r="3">
      <x:c r="A3" s="26" t="str">
        <x:v>MIL-002</x:v>
      </x:c>
      <x:c r="B3" s="26" t="str">
        <x:v>PRJ-001</x:v>
      </x:c>
      <x:c r="C3" s="26" t="str">
        <x:v>Procurement Award</x:v>
      </x:c>
      <x:c r="D3" s="30" t="n">
        <x:v>46184</x:v>
      </x:c>
      <x:c r="E3" s="30" t="n">
        <x:v>46182</x:v>
      </x:c>
      <x:c r="F3" s="26" t="str">
        <x:v>Completed</x:v>
      </x:c>
      <x:c r="G3" s="26" t="n">
        <x:v>-2</x:v>
      </x:c>
    </x:row>
    <x:row r="4">
      <x:c r="A4" s="26" t="str">
        <x:v>MIL-003</x:v>
      </x:c>
      <x:c r="B4" s="26" t="str">
        <x:v>PRJ-001</x:v>
      </x:c>
      <x:c r="C4" s="26" t="str">
        <x:v>50% Physical Completion</x:v>
      </x:c>
      <x:c r="D4" s="30" t="n">
        <x:v>46284</x:v>
      </x:c>
      <x:c r="E4" s="30"/>
      <x:c r="F4" s="26" t="str">
        <x:v>Overdue</x:v>
      </x:c>
      <x:c r="G4" s="26" t="n">
        <x:v>-23</x:v>
      </x:c>
    </x:row>
    <x:row r="5">
      <x:c r="A5" s="26" t="str">
        <x:v>MIL-004</x:v>
      </x:c>
      <x:c r="B5" s="26" t="str">
        <x:v>PRJ-001</x:v>
      </x:c>
      <x:c r="C5" s="26" t="str">
        <x:v>Substantial Completion</x:v>
      </x:c>
      <x:c r="D5" s="30" t="n">
        <x:v>46424</x:v>
      </x:c>
      <x:c r="E5" s="30"/>
      <x:c r="F5" s="26" t="str">
        <x:v>On Track</x:v>
      </x:c>
      <x:c r="G5" s="26" t="n">
        <x:v>-163</x:v>
      </x:c>
    </x:row>
    <x:row r="6">
      <x:c r="A6" s="26" t="str">
        <x:v>MIL-005</x:v>
      </x:c>
      <x:c r="B6" s="26" t="str">
        <x:v>PRJ-002</x:v>
      </x:c>
      <x:c r="C6" s="26" t="str">
        <x:v>Design Complete</x:v>
      </x:c>
      <x:c r="D6" s="30" t="n">
        <x:v>46145</x:v>
      </x:c>
      <x:c r="E6" s="30" t="n">
        <x:v>46158</x:v>
      </x:c>
      <x:c r="F6" s="26" t="str">
        <x:v>Completed</x:v>
      </x:c>
      <x:c r="G6" s="26" t="n">
        <x:v>13</x:v>
      </x:c>
    </x:row>
    <x:row r="7">
      <x:c r="A7" s="26" t="str">
        <x:v>MIL-006</x:v>
      </x:c>
      <x:c r="B7" s="26" t="str">
        <x:v>PRJ-002</x:v>
      </x:c>
      <x:c r="C7" s="26" t="str">
        <x:v>Procurement Award</x:v>
      </x:c>
      <x:c r="D7" s="30" t="n">
        <x:v>46205</x:v>
      </x:c>
      <x:c r="E7" s="30" t="n">
        <x:v>46213</x:v>
      </x:c>
      <x:c r="F7" s="26" t="str">
        <x:v>Completed</x:v>
      </x:c>
      <x:c r="G7" s="26" t="n">
        <x:v>8</x:v>
      </x:c>
    </x:row>
    <x:row r="8">
      <x:c r="A8" s="26" t="str">
        <x:v>MIL-007</x:v>
      </x:c>
      <x:c r="B8" s="26" t="str">
        <x:v>PRJ-002</x:v>
      </x:c>
      <x:c r="C8" s="26" t="str">
        <x:v>50% Physical Completion</x:v>
      </x:c>
      <x:c r="D8" s="30" t="n">
        <x:v>46305</x:v>
      </x:c>
      <x:c r="E8" s="30"/>
      <x:c r="F8" s="26" t="str">
        <x:v>On Track</x:v>
      </x:c>
      <x:c r="G8" s="26" t="n">
        <x:v>-44</x:v>
      </x:c>
    </x:row>
    <x:row r="9">
      <x:c r="A9" s="26" t="str">
        <x:v>MIL-008</x:v>
      </x:c>
      <x:c r="B9" s="26" t="str">
        <x:v>PRJ-002</x:v>
      </x:c>
      <x:c r="C9" s="26" t="str">
        <x:v>Substantial Completion</x:v>
      </x:c>
      <x:c r="D9" s="30" t="n">
        <x:v>46445</x:v>
      </x:c>
      <x:c r="E9" s="30"/>
      <x:c r="F9" s="26" t="str">
        <x:v>On Track</x:v>
      </x:c>
      <x:c r="G9" s="26" t="n">
        <x:v>-184</x:v>
      </x:c>
    </x:row>
    <x:row r="10">
      <x:c r="A10" s="26" t="str">
        <x:v>MIL-009</x:v>
      </x:c>
      <x:c r="B10" s="26" t="str">
        <x:v>PRJ-003</x:v>
      </x:c>
      <x:c r="C10" s="26" t="str">
        <x:v>Design Complete</x:v>
      </x:c>
      <x:c r="D10" s="30" t="n">
        <x:v>46132</x:v>
      </x:c>
      <x:c r="E10" s="30" t="n">
        <x:v>46146</x:v>
      </x:c>
      <x:c r="F10" s="26" t="str">
        <x:v>Completed</x:v>
      </x:c>
      <x:c r="G10" s="26" t="n">
        <x:v>14</x:v>
      </x:c>
    </x:row>
    <x:row r="11">
      <x:c r="A11" s="26" t="str">
        <x:v>MIL-010</x:v>
      </x:c>
      <x:c r="B11" s="26" t="str">
        <x:v>PRJ-003</x:v>
      </x:c>
      <x:c r="C11" s="26" t="str">
        <x:v>Procurement Award</x:v>
      </x:c>
      <x:c r="D11" s="30" t="n">
        <x:v>46192</x:v>
      </x:c>
      <x:c r="E11" s="30"/>
      <x:c r="F11" s="26" t="str">
        <x:v>Overdue</x:v>
      </x:c>
      <x:c r="G11" s="26" t="n">
        <x:v>69</x:v>
      </x:c>
    </x:row>
    <x:row r="12">
      <x:c r="A12" s="26" t="str">
        <x:v>MIL-011</x:v>
      </x:c>
      <x:c r="B12" s="26" t="str">
        <x:v>PRJ-003</x:v>
      </x:c>
      <x:c r="C12" s="26" t="str">
        <x:v>50% Physical Completion</x:v>
      </x:c>
      <x:c r="D12" s="30" t="n">
        <x:v>46292</x:v>
      </x:c>
      <x:c r="E12" s="30"/>
      <x:c r="F12" s="26" t="str">
        <x:v>Overdue</x:v>
      </x:c>
      <x:c r="G12" s="26" t="n">
        <x:v>-31</x:v>
      </x:c>
    </x:row>
    <x:row r="13">
      <x:c r="A13" s="26" t="str">
        <x:v>MIL-012</x:v>
      </x:c>
      <x:c r="B13" s="26" t="str">
        <x:v>PRJ-003</x:v>
      </x:c>
      <x:c r="C13" s="26" t="str">
        <x:v>Substantial Completion</x:v>
      </x:c>
      <x:c r="D13" s="30" t="n">
        <x:v>46432</x:v>
      </x:c>
      <x:c r="E13" s="30"/>
      <x:c r="F13" s="26" t="str">
        <x:v>On Track</x:v>
      </x:c>
      <x:c r="G13" s="26" t="n">
        <x:v>-171</x:v>
      </x:c>
    </x:row>
    <x:row r="14">
      <x:c r="A14" s="26" t="str">
        <x:v>MIL-013</x:v>
      </x:c>
      <x:c r="B14" s="26" t="str">
        <x:v>PRJ-004</x:v>
      </x:c>
      <x:c r="C14" s="26" t="str">
        <x:v>Design Complete</x:v>
      </x:c>
      <x:c r="D14" s="30" t="n">
        <x:v>46173</x:v>
      </x:c>
      <x:c r="E14" s="30"/>
      <x:c r="F14" s="26" t="str">
        <x:v>Overdue</x:v>
      </x:c>
      <x:c r="G14" s="26" t="n">
        <x:v>88</x:v>
      </x:c>
    </x:row>
    <x:row r="15">
      <x:c r="A15" s="26" t="str">
        <x:v>MIL-014</x:v>
      </x:c>
      <x:c r="B15" s="26" t="str">
        <x:v>PRJ-004</x:v>
      </x:c>
      <x:c r="C15" s="26" t="str">
        <x:v>Procurement Award</x:v>
      </x:c>
      <x:c r="D15" s="30" t="n">
        <x:v>46233</x:v>
      </x:c>
      <x:c r="E15" s="30"/>
      <x:c r="F15" s="26" t="str">
        <x:v>Overdue</x:v>
      </x:c>
      <x:c r="G15" s="26" t="n">
        <x:v>28</x:v>
      </x:c>
    </x:row>
    <x:row r="16">
      <x:c r="A16" s="26" t="str">
        <x:v>MIL-015</x:v>
      </x:c>
      <x:c r="B16" s="26" t="str">
        <x:v>PRJ-004</x:v>
      </x:c>
      <x:c r="C16" s="26" t="str">
        <x:v>50% Physical Completion</x:v>
      </x:c>
      <x:c r="D16" s="30" t="n">
        <x:v>46333</x:v>
      </x:c>
      <x:c r="E16" s="30"/>
      <x:c r="F16" s="26" t="str">
        <x:v>On Track</x:v>
      </x:c>
      <x:c r="G16" s="26" t="n">
        <x:v>-72</x:v>
      </x:c>
    </x:row>
    <x:row r="17">
      <x:c r="A17" s="26" t="str">
        <x:v>MIL-016</x:v>
      </x:c>
      <x:c r="B17" s="26" t="str">
        <x:v>PRJ-004</x:v>
      </x:c>
      <x:c r="C17" s="26" t="str">
        <x:v>Substantial Completion</x:v>
      </x:c>
      <x:c r="D17" s="30" t="n">
        <x:v>46473</x:v>
      </x:c>
      <x:c r="E17" s="30"/>
      <x:c r="F17" s="26" t="str">
        <x:v>On Track</x:v>
      </x:c>
      <x:c r="G17" s="26" t="n">
        <x:v>-212</x:v>
      </x:c>
    </x:row>
    <x:row r="18">
      <x:c r="A18" s="26" t="str">
        <x:v>MIL-017</x:v>
      </x:c>
      <x:c r="B18" s="26" t="str">
        <x:v>PRJ-005</x:v>
      </x:c>
      <x:c r="C18" s="26" t="str">
        <x:v>Design Complete</x:v>
      </x:c>
      <x:c r="D18" s="30" t="n">
        <x:v>46159</x:v>
      </x:c>
      <x:c r="E18" s="30" t="n">
        <x:v>46158</x:v>
      </x:c>
      <x:c r="F18" s="26" t="str">
        <x:v>Completed</x:v>
      </x:c>
      <x:c r="G18" s="26" t="n">
        <x:v>-1</x:v>
      </x:c>
    </x:row>
    <x:row r="19">
      <x:c r="A19" s="26" t="str">
        <x:v>MIL-018</x:v>
      </x:c>
      <x:c r="B19" s="26" t="str">
        <x:v>PRJ-005</x:v>
      </x:c>
      <x:c r="C19" s="26" t="str">
        <x:v>Procurement Award</x:v>
      </x:c>
      <x:c r="D19" s="30" t="n">
        <x:v>46219</x:v>
      </x:c>
      <x:c r="E19" s="30" t="n">
        <x:v>46226</x:v>
      </x:c>
      <x:c r="F19" s="26" t="str">
        <x:v>Completed</x:v>
      </x:c>
      <x:c r="G19" s="26" t="n">
        <x:v>7</x:v>
      </x:c>
    </x:row>
    <x:row r="20">
      <x:c r="A20" s="26" t="str">
        <x:v>MIL-019</x:v>
      </x:c>
      <x:c r="B20" s="26" t="str">
        <x:v>PRJ-005</x:v>
      </x:c>
      <x:c r="C20" s="26" t="str">
        <x:v>50% Physical Completion</x:v>
      </x:c>
      <x:c r="D20" s="30" t="n">
        <x:v>46319</x:v>
      </x:c>
      <x:c r="E20" s="30"/>
      <x:c r="F20" s="26" t="str">
        <x:v>On Track</x:v>
      </x:c>
      <x:c r="G20" s="26" t="n">
        <x:v>-58</x:v>
      </x:c>
    </x:row>
    <x:row r="21">
      <x:c r="A21" s="26" t="str">
        <x:v>MIL-020</x:v>
      </x:c>
      <x:c r="B21" s="26" t="str">
        <x:v>PRJ-005</x:v>
      </x:c>
      <x:c r="C21" s="26" t="str">
        <x:v>Substantial Completion</x:v>
      </x:c>
      <x:c r="D21" s="30" t="n">
        <x:v>46459</x:v>
      </x:c>
      <x:c r="E21" s="30"/>
      <x:c r="F21" s="26" t="str">
        <x:v>On Track</x:v>
      </x:c>
      <x:c r="G21" s="26" t="n">
        <x:v>-198</x:v>
      </x:c>
    </x:row>
    <x:row r="22">
      <x:c r="A22" s="26" t="str">
        <x:v>MIL-021</x:v>
      </x:c>
      <x:c r="B22" s="26" t="str">
        <x:v>PRJ-006</x:v>
      </x:c>
      <x:c r="C22" s="26" t="str">
        <x:v>Design Complete</x:v>
      </x:c>
      <x:c r="D22" s="30" t="n">
        <x:v>46208</x:v>
      </x:c>
      <x:c r="E22" s="30"/>
      <x:c r="F22" s="26" t="str">
        <x:v>Overdue</x:v>
      </x:c>
      <x:c r="G22" s="26" t="n">
        <x:v>53</x:v>
      </x:c>
    </x:row>
    <x:row r="23">
      <x:c r="A23" s="26" t="str">
        <x:v>MIL-022</x:v>
      </x:c>
      <x:c r="B23" s="26" t="str">
        <x:v>PRJ-006</x:v>
      </x:c>
      <x:c r="C23" s="26" t="str">
        <x:v>Procurement Award</x:v>
      </x:c>
      <x:c r="D23" s="30" t="n">
        <x:v>46268</x:v>
      </x:c>
      <x:c r="E23" s="30"/>
      <x:c r="F23" s="26" t="str">
        <x:v>On Track</x:v>
      </x:c>
      <x:c r="G23" s="26" t="n">
        <x:v>-7</x:v>
      </x:c>
    </x:row>
    <x:row r="24">
      <x:c r="A24" s="26" t="str">
        <x:v>MIL-023</x:v>
      </x:c>
      <x:c r="B24" s="26" t="str">
        <x:v>PRJ-006</x:v>
      </x:c>
      <x:c r="C24" s="26" t="str">
        <x:v>50% Physical Completion</x:v>
      </x:c>
      <x:c r="D24" s="30" t="n">
        <x:v>46368</x:v>
      </x:c>
      <x:c r="E24" s="30"/>
      <x:c r="F24" s="26" t="str">
        <x:v>On Track</x:v>
      </x:c>
      <x:c r="G24" s="26" t="n">
        <x:v>-107</x:v>
      </x:c>
    </x:row>
    <x:row r="25">
      <x:c r="A25" s="26" t="str">
        <x:v>MIL-024</x:v>
      </x:c>
      <x:c r="B25" s="26" t="str">
        <x:v>PRJ-006</x:v>
      </x:c>
      <x:c r="C25" s="26" t="str">
        <x:v>Substantial Completion</x:v>
      </x:c>
      <x:c r="D25" s="30" t="n">
        <x:v>46508</x:v>
      </x:c>
      <x:c r="E25" s="30"/>
      <x:c r="F25" s="26" t="str">
        <x:v>On Track</x:v>
      </x:c>
      <x:c r="G25" s="26" t="n">
        <x:v>-247</x:v>
      </x:c>
    </x:row>
    <x:row r="26">
      <x:c r="A26" s="26" t="str">
        <x:v>MIL-025</x:v>
      </x:c>
      <x:c r="B26" s="26" t="str">
        <x:v>PRJ-007</x:v>
      </x:c>
      <x:c r="C26" s="26" t="str">
        <x:v>Design Complete</x:v>
      </x:c>
      <x:c r="D26" s="30" t="n">
        <x:v>46194</x:v>
      </x:c>
      <x:c r="E26" s="30"/>
      <x:c r="F26" s="26" t="str">
        <x:v>Overdue</x:v>
      </x:c>
      <x:c r="G26" s="26" t="n">
        <x:v>67</x:v>
      </x:c>
    </x:row>
    <x:row r="27">
      <x:c r="A27" s="26" t="str">
        <x:v>MIL-026</x:v>
      </x:c>
      <x:c r="B27" s="26" t="str">
        <x:v>PRJ-007</x:v>
      </x:c>
      <x:c r="C27" s="26" t="str">
        <x:v>Procurement Award</x:v>
      </x:c>
      <x:c r="D27" s="30" t="n">
        <x:v>46254</x:v>
      </x:c>
      <x:c r="E27" s="30"/>
      <x:c r="F27" s="26" t="str">
        <x:v>On Track</x:v>
      </x:c>
      <x:c r="G27" s="26" t="n">
        <x:v>7</x:v>
      </x:c>
    </x:row>
    <x:row r="28">
      <x:c r="A28" s="26" t="str">
        <x:v>MIL-027</x:v>
      </x:c>
      <x:c r="B28" s="26" t="str">
        <x:v>PRJ-007</x:v>
      </x:c>
      <x:c r="C28" s="26" t="str">
        <x:v>50% Physical Completion</x:v>
      </x:c>
      <x:c r="D28" s="30" t="n">
        <x:v>46354</x:v>
      </x:c>
      <x:c r="E28" s="30"/>
      <x:c r="F28" s="26" t="str">
        <x:v>On Track</x:v>
      </x:c>
      <x:c r="G28" s="26" t="n">
        <x:v>-93</x:v>
      </x:c>
    </x:row>
    <x:row r="29">
      <x:c r="A29" s="26" t="str">
        <x:v>MIL-028</x:v>
      </x:c>
      <x:c r="B29" s="26" t="str">
        <x:v>PRJ-007</x:v>
      </x:c>
      <x:c r="C29" s="26" t="str">
        <x:v>Substantial Completion</x:v>
      </x:c>
      <x:c r="D29" s="30" t="n">
        <x:v>46494</x:v>
      </x:c>
      <x:c r="E29" s="30"/>
      <x:c r="F29" s="26" t="str">
        <x:v>On Track</x:v>
      </x:c>
      <x:c r="G29" s="26" t="n">
        <x:v>-233</x:v>
      </x:c>
    </x:row>
    <x:row r="30">
      <x:c r="A30" s="26" t="str">
        <x:v>MIL-029</x:v>
      </x:c>
      <x:c r="B30" s="26" t="str">
        <x:v>PRJ-008</x:v>
      </x:c>
      <x:c r="C30" s="26" t="str">
        <x:v>Design Complete</x:v>
      </x:c>
      <x:c r="D30" s="30" t="n">
        <x:v>46222</x:v>
      </x:c>
      <x:c r="E30" s="30" t="n">
        <x:v>46221</x:v>
      </x:c>
      <x:c r="F30" s="26" t="str">
        <x:v>Completed</x:v>
      </x:c>
      <x:c r="G30" s="26" t="n">
        <x:v>-1</x:v>
      </x:c>
    </x:row>
    <x:row r="31">
      <x:c r="A31" s="26" t="str">
        <x:v>MIL-030</x:v>
      </x:c>
      <x:c r="B31" s="26" t="str">
        <x:v>PRJ-008</x:v>
      </x:c>
      <x:c r="C31" s="26" t="str">
        <x:v>Procurement Award</x:v>
      </x:c>
      <x:c r="D31" s="30" t="n">
        <x:v>46282</x:v>
      </x:c>
      <x:c r="E31" s="30"/>
      <x:c r="F31" s="26" t="str">
        <x:v>Overdue</x:v>
      </x:c>
      <x:c r="G31" s="26" t="n">
        <x:v>-21</x:v>
      </x:c>
    </x:row>
    <x:row r="32">
      <x:c r="A32" s="26" t="str">
        <x:v>MIL-031</x:v>
      </x:c>
      <x:c r="B32" s="26" t="str">
        <x:v>PRJ-008</x:v>
      </x:c>
      <x:c r="C32" s="26" t="str">
        <x:v>50% Physical Completion</x:v>
      </x:c>
      <x:c r="D32" s="30" t="n">
        <x:v>46382</x:v>
      </x:c>
      <x:c r="E32" s="30"/>
      <x:c r="F32" s="26" t="str">
        <x:v>On Track</x:v>
      </x:c>
      <x:c r="G32" s="26" t="n">
        <x:v>-121</x:v>
      </x:c>
    </x:row>
    <x:row r="33">
      <x:c r="A33" s="26" t="str">
        <x:v>MIL-032</x:v>
      </x:c>
      <x:c r="B33" s="26" t="str">
        <x:v>PRJ-008</x:v>
      </x:c>
      <x:c r="C33" s="26" t="str">
        <x:v>Substantial Completion</x:v>
      </x:c>
      <x:c r="D33" s="30" t="n">
        <x:v>46522</x:v>
      </x:c>
      <x:c r="E33" s="30"/>
      <x:c r="F33" s="26" t="str">
        <x:v>On Track</x:v>
      </x:c>
      <x:c r="G33" s="26" t="n">
        <x:v>-261</x:v>
      </x:c>
    </x:row>
    <x:row r="34">
      <x:c r="A34" s="26" t="str">
        <x:v>MIL-033</x:v>
      </x:c>
      <x:c r="B34" s="26" t="str">
        <x:v>PRJ-009</x:v>
      </x:c>
      <x:c r="C34" s="26" t="str">
        <x:v>Design Complete</x:v>
      </x:c>
      <x:c r="D34" s="30" t="n">
        <x:v>46152</x:v>
      </x:c>
      <x:c r="E34" s="30" t="n">
        <x:v>46153</x:v>
      </x:c>
      <x:c r="F34" s="26" t="str">
        <x:v>Completed</x:v>
      </x:c>
      <x:c r="G34" s="26" t="n">
        <x:v>1</x:v>
      </x:c>
    </x:row>
    <x:row r="35">
      <x:c r="A35" s="26" t="str">
        <x:v>MIL-034</x:v>
      </x:c>
      <x:c r="B35" s="26" t="str">
        <x:v>PRJ-009</x:v>
      </x:c>
      <x:c r="C35" s="26" t="str">
        <x:v>Procurement Award</x:v>
      </x:c>
      <x:c r="D35" s="30" t="n">
        <x:v>46212</x:v>
      </x:c>
      <x:c r="E35" s="30" t="n">
        <x:v>46208</x:v>
      </x:c>
      <x:c r="F35" s="26" t="str">
        <x:v>Completed</x:v>
      </x:c>
      <x:c r="G35" s="26" t="n">
        <x:v>-4</x:v>
      </x:c>
    </x:row>
    <x:row r="36">
      <x:c r="A36" s="26" t="str">
        <x:v>MIL-035</x:v>
      </x:c>
      <x:c r="B36" s="26" t="str">
        <x:v>PRJ-009</x:v>
      </x:c>
      <x:c r="C36" s="26" t="str">
        <x:v>50% Physical Completion</x:v>
      </x:c>
      <x:c r="D36" s="30" t="n">
        <x:v>46312</x:v>
      </x:c>
      <x:c r="E36" s="30"/>
      <x:c r="F36" s="26" t="str">
        <x:v>On Track</x:v>
      </x:c>
      <x:c r="G36" s="26" t="n">
        <x:v>-51</x:v>
      </x:c>
    </x:row>
    <x:row r="37">
      <x:c r="A37" s="26" t="str">
        <x:v>MIL-036</x:v>
      </x:c>
      <x:c r="B37" s="26" t="str">
        <x:v>PRJ-009</x:v>
      </x:c>
      <x:c r="C37" s="26" t="str">
        <x:v>Substantial Completion</x:v>
      </x:c>
      <x:c r="D37" s="30" t="n">
        <x:v>46452</x:v>
      </x:c>
      <x:c r="E37" s="30"/>
      <x:c r="F37" s="26" t="str">
        <x:v>On Track</x:v>
      </x:c>
      <x:c r="G37" s="26" t="n">
        <x:v>-191</x:v>
      </x:c>
    </x:row>
    <x:row r="38">
      <x:c r="A38" s="26" t="str">
        <x:v>MIL-037</x:v>
      </x:c>
      <x:c r="B38" s="26" t="str">
        <x:v>PRJ-010</x:v>
      </x:c>
      <x:c r="C38" s="26" t="str">
        <x:v>Design Complete</x:v>
      </x:c>
      <x:c r="D38" s="30" t="n">
        <x:v>46180</x:v>
      </x:c>
      <x:c r="E38" s="30" t="n">
        <x:v>46184</x:v>
      </x:c>
      <x:c r="F38" s="26" t="str">
        <x:v>Completed</x:v>
      </x:c>
      <x:c r="G38" s="26" t="n">
        <x:v>4</x:v>
      </x:c>
    </x:row>
    <x:row r="39">
      <x:c r="A39" s="26" t="str">
        <x:v>MIL-038</x:v>
      </x:c>
      <x:c r="B39" s="26" t="str">
        <x:v>PRJ-010</x:v>
      </x:c>
      <x:c r="C39" s="26" t="str">
        <x:v>Procurement Award</x:v>
      </x:c>
      <x:c r="D39" s="30" t="n">
        <x:v>46240</x:v>
      </x:c>
      <x:c r="E39" s="30"/>
      <x:c r="F39" s="26" t="str">
        <x:v>Due Soon</x:v>
      </x:c>
      <x:c r="G39" s="26" t="n">
        <x:v>21</x:v>
      </x:c>
    </x:row>
    <x:row r="40">
      <x:c r="A40" s="26" t="str">
        <x:v>MIL-039</x:v>
      </x:c>
      <x:c r="B40" s="26" t="str">
        <x:v>PRJ-010</x:v>
      </x:c>
      <x:c r="C40" s="26" t="str">
        <x:v>50% Physical Completion</x:v>
      </x:c>
      <x:c r="D40" s="30" t="n">
        <x:v>46340</x:v>
      </x:c>
      <x:c r="E40" s="30"/>
      <x:c r="F40" s="26" t="str">
        <x:v>On Track</x:v>
      </x:c>
      <x:c r="G40" s="26" t="n">
        <x:v>-79</x:v>
      </x:c>
    </x:row>
    <x:row r="41">
      <x:c r="A41" s="26" t="str">
        <x:v>MIL-040</x:v>
      </x:c>
      <x:c r="B41" s="26" t="str">
        <x:v>PRJ-010</x:v>
      </x:c>
      <x:c r="C41" s="26" t="str">
        <x:v>Substantial Completion</x:v>
      </x:c>
      <x:c r="D41" s="30" t="n">
        <x:v>46480</x:v>
      </x:c>
      <x:c r="E41" s="30"/>
      <x:c r="F41" s="26" t="str">
        <x:v>On Track</x:v>
      </x:c>
      <x:c r="G41" s="26" t="n">
        <x:v>-219</x:v>
      </x:c>
    </x:row>
    <x:row r="42">
      <x:c r="A42" s="26" t="str">
        <x:v>MIL-041</x:v>
      </x:c>
      <x:c r="B42" s="26" t="str">
        <x:v>PRJ-011</x:v>
      </x:c>
      <x:c r="C42" s="26" t="str">
        <x:v>Design Complete</x:v>
      </x:c>
      <x:c r="D42" s="30" t="n">
        <x:v>46117</x:v>
      </x:c>
      <x:c r="E42" s="30" t="n">
        <x:v>46115</x:v>
      </x:c>
      <x:c r="F42" s="26" t="str">
        <x:v>Completed</x:v>
      </x:c>
      <x:c r="G42" s="26" t="n">
        <x:v>-2</x:v>
      </x:c>
    </x:row>
    <x:row r="43">
      <x:c r="A43" s="26" t="str">
        <x:v>MIL-042</x:v>
      </x:c>
      <x:c r="B43" s="26" t="str">
        <x:v>PRJ-011</x:v>
      </x:c>
      <x:c r="C43" s="26" t="str">
        <x:v>Procurement Award</x:v>
      </x:c>
      <x:c r="D43" s="30" t="n">
        <x:v>46177</x:v>
      </x:c>
      <x:c r="E43" s="30" t="n">
        <x:v>46193</x:v>
      </x:c>
      <x:c r="F43" s="26" t="str">
        <x:v>Completed</x:v>
      </x:c>
      <x:c r="G43" s="26" t="n">
        <x:v>16</x:v>
      </x:c>
    </x:row>
    <x:row r="44">
      <x:c r="A44" s="26" t="str">
        <x:v>MIL-043</x:v>
      </x:c>
      <x:c r="B44" s="26" t="str">
        <x:v>PRJ-011</x:v>
      </x:c>
      <x:c r="C44" s="26" t="str">
        <x:v>50% Physical Completion</x:v>
      </x:c>
      <x:c r="D44" s="30" t="n">
        <x:v>46277</x:v>
      </x:c>
      <x:c r="E44" s="30"/>
      <x:c r="F44" s="26" t="str">
        <x:v>On Track</x:v>
      </x:c>
      <x:c r="G44" s="26" t="n">
        <x:v>-16</x:v>
      </x:c>
    </x:row>
    <x:row r="45">
      <x:c r="A45" s="26" t="str">
        <x:v>MIL-044</x:v>
      </x:c>
      <x:c r="B45" s="26" t="str">
        <x:v>PRJ-011</x:v>
      </x:c>
      <x:c r="C45" s="26" t="str">
        <x:v>Substantial Completion</x:v>
      </x:c>
      <x:c r="D45" s="30" t="n">
        <x:v>46417</x:v>
      </x:c>
      <x:c r="E45" s="30"/>
      <x:c r="F45" s="26" t="str">
        <x:v>On Track</x:v>
      </x:c>
      <x:c r="G45" s="26" t="n">
        <x:v>-156</x:v>
      </x:c>
    </x:row>
    <x:row r="46">
      <x:c r="A46" s="26" t="str">
        <x:v>MIL-045</x:v>
      </x:c>
      <x:c r="B46" s="26" t="str">
        <x:v>PRJ-012</x:v>
      </x:c>
      <x:c r="C46" s="26" t="str">
        <x:v>Design Complete</x:v>
      </x:c>
      <x:c r="D46" s="30" t="n">
        <x:v>46236</x:v>
      </x:c>
      <x:c r="E46" s="30"/>
      <x:c r="F46" s="26" t="str">
        <x:v>On Track</x:v>
      </x:c>
      <x:c r="G46" s="26" t="n">
        <x:v>25</x:v>
      </x:c>
    </x:row>
    <x:row r="47">
      <x:c r="A47" s="26" t="str">
        <x:v>MIL-046</x:v>
      </x:c>
      <x:c r="B47" s="26" t="str">
        <x:v>PRJ-012</x:v>
      </x:c>
      <x:c r="C47" s="26" t="str">
        <x:v>Procurement Award</x:v>
      </x:c>
      <x:c r="D47" s="30" t="n">
        <x:v>46296</x:v>
      </x:c>
      <x:c r="E47" s="30"/>
      <x:c r="F47" s="26" t="str">
        <x:v>On Track</x:v>
      </x:c>
      <x:c r="G47" s="26" t="n">
        <x:v>-35</x:v>
      </x:c>
    </x:row>
    <x:row r="48">
      <x:c r="A48" s="26" t="str">
        <x:v>MIL-047</x:v>
      </x:c>
      <x:c r="B48" s="26" t="str">
        <x:v>PRJ-012</x:v>
      </x:c>
      <x:c r="C48" s="26" t="str">
        <x:v>50% Physical Completion</x:v>
      </x:c>
      <x:c r="D48" s="30" t="n">
        <x:v>46396</x:v>
      </x:c>
      <x:c r="E48" s="30"/>
      <x:c r="F48" s="26" t="str">
        <x:v>On Track</x:v>
      </x:c>
      <x:c r="G48" s="26" t="n">
        <x:v>-135</x:v>
      </x:c>
    </x:row>
    <x:row r="49">
      <x:c r="A49" s="26" t="str">
        <x:v>MIL-048</x:v>
      </x:c>
      <x:c r="B49" s="26" t="str">
        <x:v>PRJ-012</x:v>
      </x:c>
      <x:c r="C49" s="26" t="str">
        <x:v>Substantial Completion</x:v>
      </x:c>
      <x:c r="D49" s="30" t="n">
        <x:v>46536</x:v>
      </x:c>
      <x:c r="E49" s="30"/>
      <x:c r="F49" s="26" t="str">
        <x:v>On Track</x:v>
      </x:c>
      <x:c r="G49" s="26" t="n">
        <x:v>-275</x:v>
      </x:c>
    </x:row>
  </x:sheetData>
  <x:pageMargins left="0.7" right="0.7" top="0.75" bottom="0.75" header="0.3" footer="0.3"/>
  <x:tableParts count="1">
    <x:tablePart xmlns:r="http://schemas.openxmlformats.org/officeDocument/2006/relationships" r:id="R87a693a658f744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20" hidden="0" customWidth="1"/>
    <x:col min="10" max="10" width="14" hidden="0" customWidth="1"/>
  </x:cols>
  <x:sheetData>
    <x:row r="1">
      <x:c r="A1" s="24" t="str">
        <x:v>Risk ID</x:v>
      </x:c>
      <x:c r="B1" s="24" t="str">
        <x:v>Project ID</x:v>
      </x:c>
      <x:c r="C1" s="24" t="str">
        <x:v>Risk Category</x:v>
      </x:c>
      <x:c r="D1" s="24" t="str">
        <x:v>Probability (1-5)</x:v>
      </x:c>
      <x:c r="E1" s="24" t="str">
        <x:v>Impact (1-5)</x:v>
      </x:c>
      <x:c r="F1" s="24" t="str">
        <x:v>Inherent Score</x:v>
      </x:c>
      <x:c r="G1" s="24" t="str">
        <x:v>Residual Score</x:v>
      </x:c>
      <x:c r="H1" s="24" t="str">
        <x:v>Residual Level</x:v>
      </x:c>
      <x:c r="I1" s="24" t="str">
        <x:v>Owner</x:v>
      </x:c>
      <x:c r="J1" s="24" t="str">
        <x:v>Status</x:v>
      </x:c>
    </x:row>
    <x:row r="2">
      <x:c r="A2" s="26" t="str">
        <x:v>RSK-001</x:v>
      </x:c>
      <x:c r="B2" s="26" t="str">
        <x:v>PRJ-001</x:v>
      </x:c>
      <x:c r="C2" s="26" t="str">
        <x:v>Schedule</x:v>
      </x:c>
      <x:c r="D2" s="26" t="n">
        <x:v>2</x:v>
      </x:c>
      <x:c r="E2" s="26" t="n">
        <x:v>3</x:v>
      </x:c>
      <x:c r="F2" s="26" t="n">
        <x:v>6</x:v>
      </x:c>
      <x:c r="G2" s="26" t="n">
        <x:v>2</x:v>
      </x:c>
      <x:c r="H2" s="26" t="str">
        <x:v>Low</x:v>
      </x:c>
      <x:c r="I2" s="26" t="str">
        <x:v>María Torres</x:v>
      </x:c>
      <x:c r="J2" s="26" t="str">
        <x:v>Monitoring</x:v>
      </x:c>
    </x:row>
    <x:row r="3">
      <x:c r="A3" s="26" t="str">
        <x:v>RSK-002</x:v>
      </x:c>
      <x:c r="B3" s="26" t="str">
        <x:v>PRJ-001</x:v>
      </x:c>
      <x:c r="C3" s="26" t="str">
        <x:v>Procurement</x:v>
      </x:c>
      <x:c r="D3" s="26" t="n">
        <x:v>5</x:v>
      </x:c>
      <x:c r="E3" s="26" t="n">
        <x:v>2</x:v>
      </x:c>
      <x:c r="F3" s="26" t="n">
        <x:v>10</x:v>
      </x:c>
      <x:c r="G3" s="26" t="n">
        <x:v>8</x:v>
      </x:c>
      <x:c r="H3" s="26" t="str">
        <x:v>Medium</x:v>
      </x:c>
      <x:c r="I3" s="26" t="str">
        <x:v>María Torres</x:v>
      </x:c>
      <x:c r="J3" s="26" t="str">
        <x:v>Monitoring</x:v>
      </x:c>
    </x:row>
    <x:row r="4">
      <x:c r="A4" s="26" t="str">
        <x:v>RSK-003</x:v>
      </x:c>
      <x:c r="B4" s="26" t="str">
        <x:v>PRJ-002</x:v>
      </x:c>
      <x:c r="C4" s="26" t="str">
        <x:v>Environmental</x:v>
      </x:c>
      <x:c r="D4" s="26" t="n">
        <x:v>3</x:v>
      </x:c>
      <x:c r="E4" s="26" t="n">
        <x:v>2</x:v>
      </x:c>
      <x:c r="F4" s="26" t="n">
        <x:v>6</x:v>
      </x:c>
      <x:c r="G4" s="26" t="n">
        <x:v>1</x:v>
      </x:c>
      <x:c r="H4" s="26" t="str">
        <x:v>Low</x:v>
      </x:c>
      <x:c r="I4" s="26" t="str">
        <x:v>Carlos Méndez</x:v>
      </x:c>
      <x:c r="J4" s="26" t="str">
        <x:v>Monitoring</x:v>
      </x:c>
    </x:row>
    <x:row r="5">
      <x:c r="A5" s="26" t="str">
        <x:v>RSK-004</x:v>
      </x:c>
      <x:c r="B5" s="26" t="str">
        <x:v>PRJ-002</x:v>
      </x:c>
      <x:c r="C5" s="26" t="str">
        <x:v>Stakeholder</x:v>
      </x:c>
      <x:c r="D5" s="26" t="n">
        <x:v>5</x:v>
      </x:c>
      <x:c r="E5" s="26" t="n">
        <x:v>4</x:v>
      </x:c>
      <x:c r="F5" s="26" t="n">
        <x:v>20</x:v>
      </x:c>
      <x:c r="G5" s="26" t="n">
        <x:v>17</x:v>
      </x:c>
      <x:c r="H5" s="26" t="str">
        <x:v>Critical</x:v>
      </x:c>
      <x:c r="I5" s="26" t="str">
        <x:v>Carlos Méndez</x:v>
      </x:c>
      <x:c r="J5" s="26" t="str">
        <x:v>Monitoring</x:v>
      </x:c>
    </x:row>
    <x:row r="6">
      <x:c r="A6" s="26" t="str">
        <x:v>RSK-005</x:v>
      </x:c>
      <x:c r="B6" s="26" t="str">
        <x:v>PRJ-003</x:v>
      </x:c>
      <x:c r="C6" s="26" t="str">
        <x:v>Cost</x:v>
      </x:c>
      <x:c r="D6" s="26" t="n">
        <x:v>3</x:v>
      </x:c>
      <x:c r="E6" s="26" t="n">
        <x:v>5</x:v>
      </x:c>
      <x:c r="F6" s="26" t="n">
        <x:v>15</x:v>
      </x:c>
      <x:c r="G6" s="26" t="n">
        <x:v>9</x:v>
      </x:c>
      <x:c r="H6" s="26" t="str">
        <x:v>Medium</x:v>
      </x:c>
      <x:c r="I6" s="26" t="str">
        <x:v>Ana Castillo</x:v>
      </x:c>
      <x:c r="J6" s="26" t="str">
        <x:v>Open</x:v>
      </x:c>
    </x:row>
    <x:row r="7">
      <x:c r="A7" s="26" t="str">
        <x:v>RSK-006</x:v>
      </x:c>
      <x:c r="B7" s="26" t="str">
        <x:v>PRJ-003</x:v>
      </x:c>
      <x:c r="C7" s="26" t="str">
        <x:v>Environmental</x:v>
      </x:c>
      <x:c r="D7" s="26" t="n">
        <x:v>2</x:v>
      </x:c>
      <x:c r="E7" s="26" t="n">
        <x:v>4</x:v>
      </x:c>
      <x:c r="F7" s="26" t="n">
        <x:v>8</x:v>
      </x:c>
      <x:c r="G7" s="26" t="n">
        <x:v>6</x:v>
      </x:c>
      <x:c r="H7" s="26" t="str">
        <x:v>Medium</x:v>
      </x:c>
      <x:c r="I7" s="26" t="str">
        <x:v>Ana Castillo</x:v>
      </x:c>
      <x:c r="J7" s="26" t="str">
        <x:v>Open</x:v>
      </x:c>
    </x:row>
    <x:row r="8">
      <x:c r="A8" s="26" t="str">
        <x:v>RSK-007</x:v>
      </x:c>
      <x:c r="B8" s="26" t="str">
        <x:v>PRJ-004</x:v>
      </x:c>
      <x:c r="C8" s="26" t="str">
        <x:v>Procurement</x:v>
      </x:c>
      <x:c r="D8" s="26" t="n">
        <x:v>4</x:v>
      </x:c>
      <x:c r="E8" s="26" t="n">
        <x:v>5</x:v>
      </x:c>
      <x:c r="F8" s="26" t="n">
        <x:v>20</x:v>
      </x:c>
      <x:c r="G8" s="26" t="n">
        <x:v>16</x:v>
      </x:c>
      <x:c r="H8" s="26" t="str">
        <x:v>Critical</x:v>
      </x:c>
      <x:c r="I8" s="26" t="str">
        <x:v>Luis Herrera</x:v>
      </x:c>
      <x:c r="J8" s="26" t="str">
        <x:v>Open</x:v>
      </x:c>
    </x:row>
    <x:row r="9">
      <x:c r="A9" s="26" t="str">
        <x:v>RSK-008</x:v>
      </x:c>
      <x:c r="B9" s="26" t="str">
        <x:v>PRJ-004</x:v>
      </x:c>
      <x:c r="C9" s="26" t="str">
        <x:v>Technical</x:v>
      </x:c>
      <x:c r="D9" s="26" t="n">
        <x:v>3</x:v>
      </x:c>
      <x:c r="E9" s="26" t="n">
        <x:v>2</x:v>
      </x:c>
      <x:c r="F9" s="26" t="n">
        <x:v>6</x:v>
      </x:c>
      <x:c r="G9" s="26" t="n">
        <x:v>1</x:v>
      </x:c>
      <x:c r="H9" s="26" t="str">
        <x:v>Low</x:v>
      </x:c>
      <x:c r="I9" s="26" t="str">
        <x:v>Luis Herrera</x:v>
      </x:c>
      <x:c r="J9" s="26" t="str">
        <x:v>Monitoring</x:v>
      </x:c>
    </x:row>
    <x:row r="10">
      <x:c r="A10" s="26" t="str">
        <x:v>RSK-009</x:v>
      </x:c>
      <x:c r="B10" s="26" t="str">
        <x:v>PRJ-005</x:v>
      </x:c>
      <x:c r="C10" s="26" t="str">
        <x:v>Technical</x:v>
      </x:c>
      <x:c r="D10" s="26" t="n">
        <x:v>2</x:v>
      </x:c>
      <x:c r="E10" s="26" t="n">
        <x:v>3</x:v>
      </x:c>
      <x:c r="F10" s="26" t="n">
        <x:v>6</x:v>
      </x:c>
      <x:c r="G10" s="26" t="n">
        <x:v>5</x:v>
      </x:c>
      <x:c r="H10" s="26" t="str">
        <x:v>Medium</x:v>
      </x:c>
      <x:c r="I10" s="26" t="str">
        <x:v>Sofía Ríos</x:v>
      </x:c>
      <x:c r="J10" s="26" t="str">
        <x:v>Monitoring</x:v>
      </x:c>
    </x:row>
    <x:row r="11">
      <x:c r="A11" s="26" t="str">
        <x:v>RSK-010</x:v>
      </x:c>
      <x:c r="B11" s="26" t="str">
        <x:v>PRJ-005</x:v>
      </x:c>
      <x:c r="C11" s="26" t="str">
        <x:v>Schedule</x:v>
      </x:c>
      <x:c r="D11" s="26" t="n">
        <x:v>5</x:v>
      </x:c>
      <x:c r="E11" s="26" t="n">
        <x:v>2</x:v>
      </x:c>
      <x:c r="F11" s="26" t="n">
        <x:v>10</x:v>
      </x:c>
      <x:c r="G11" s="26" t="n">
        <x:v>6</x:v>
      </x:c>
      <x:c r="H11" s="26" t="str">
        <x:v>Medium</x:v>
      </x:c>
      <x:c r="I11" s="26" t="str">
        <x:v>Sofía Ríos</x:v>
      </x:c>
      <x:c r="J11" s="26" t="str">
        <x:v>Monitoring</x:v>
      </x:c>
    </x:row>
    <x:row r="12">
      <x:c r="A12" s="26" t="str">
        <x:v>RSK-011</x:v>
      </x:c>
      <x:c r="B12" s="26" t="str">
        <x:v>PRJ-006</x:v>
      </x:c>
      <x:c r="C12" s="26" t="str">
        <x:v>Environmental</x:v>
      </x:c>
      <x:c r="D12" s="26" t="n">
        <x:v>3</x:v>
      </x:c>
      <x:c r="E12" s="26" t="n">
        <x:v>4</x:v>
      </x:c>
      <x:c r="F12" s="26" t="n">
        <x:v>12</x:v>
      </x:c>
      <x:c r="G12" s="26" t="n">
        <x:v>6</x:v>
      </x:c>
      <x:c r="H12" s="26" t="str">
        <x:v>Medium</x:v>
      </x:c>
      <x:c r="I12" s="26" t="str">
        <x:v>Jorge Batista</x:v>
      </x:c>
      <x:c r="J12" s="26" t="str">
        <x:v>Mitigating</x:v>
      </x:c>
    </x:row>
    <x:row r="13">
      <x:c r="A13" s="26" t="str">
        <x:v>RSK-012</x:v>
      </x:c>
      <x:c r="B13" s="26" t="str">
        <x:v>PRJ-006</x:v>
      </x:c>
      <x:c r="C13" s="26" t="str">
        <x:v>Environmental</x:v>
      </x:c>
      <x:c r="D13" s="26" t="n">
        <x:v>4</x:v>
      </x:c>
      <x:c r="E13" s="26" t="n">
        <x:v>5</x:v>
      </x:c>
      <x:c r="F13" s="26" t="n">
        <x:v>20</x:v>
      </x:c>
      <x:c r="G13" s="26" t="n">
        <x:v>17</x:v>
      </x:c>
      <x:c r="H13" s="26" t="str">
        <x:v>Critical</x:v>
      </x:c>
      <x:c r="I13" s="26" t="str">
        <x:v>Jorge Batista</x:v>
      </x:c>
      <x:c r="J13" s="26" t="str">
        <x:v>Open</x:v>
      </x:c>
    </x:row>
    <x:row r="14">
      <x:c r="A14" s="26" t="str">
        <x:v>RSK-013</x:v>
      </x:c>
      <x:c r="B14" s="26" t="str">
        <x:v>PRJ-007</x:v>
      </x:c>
      <x:c r="C14" s="26" t="str">
        <x:v>Stakeholder</x:v>
      </x:c>
      <x:c r="D14" s="26" t="n">
        <x:v>5</x:v>
      </x:c>
      <x:c r="E14" s="26" t="n">
        <x:v>4</x:v>
      </x:c>
      <x:c r="F14" s="26" t="n">
        <x:v>20</x:v>
      </x:c>
      <x:c r="G14" s="26" t="n">
        <x:v>17</x:v>
      </x:c>
      <x:c r="H14" s="26" t="str">
        <x:v>Critical</x:v>
      </x:c>
      <x:c r="I14" s="26" t="str">
        <x:v>Elena Vega</x:v>
      </x:c>
      <x:c r="J14" s="26" t="str">
        <x:v>Mitigating</x:v>
      </x:c>
    </x:row>
    <x:row r="15">
      <x:c r="A15" s="26" t="str">
        <x:v>RSK-014</x:v>
      </x:c>
      <x:c r="B15" s="26" t="str">
        <x:v>PRJ-007</x:v>
      </x:c>
      <x:c r="C15" s="26" t="str">
        <x:v>Environmental</x:v>
      </x:c>
      <x:c r="D15" s="26" t="n">
        <x:v>4</x:v>
      </x:c>
      <x:c r="E15" s="26" t="n">
        <x:v>5</x:v>
      </x:c>
      <x:c r="F15" s="26" t="n">
        <x:v>20</x:v>
      </x:c>
      <x:c r="G15" s="26" t="n">
        <x:v>18</x:v>
      </x:c>
      <x:c r="H15" s="26" t="str">
        <x:v>Critical</x:v>
      </x:c>
      <x:c r="I15" s="26" t="str">
        <x:v>Elena Vega</x:v>
      </x:c>
      <x:c r="J15" s="26" t="str">
        <x:v>Monitoring</x:v>
      </x:c>
    </x:row>
    <x:row r="16">
      <x:c r="A16" s="26" t="str">
        <x:v>RSK-015</x:v>
      </x:c>
      <x:c r="B16" s="26" t="str">
        <x:v>PRJ-008</x:v>
      </x:c>
      <x:c r="C16" s="26" t="str">
        <x:v>Stakeholder</x:v>
      </x:c>
      <x:c r="D16" s="26" t="n">
        <x:v>3</x:v>
      </x:c>
      <x:c r="E16" s="26" t="n">
        <x:v>3</x:v>
      </x:c>
      <x:c r="F16" s="26" t="n">
        <x:v>9</x:v>
      </x:c>
      <x:c r="G16" s="26" t="n">
        <x:v>7</x:v>
      </x:c>
      <x:c r="H16" s="26" t="str">
        <x:v>Medium</x:v>
      </x:c>
      <x:c r="I16" s="26" t="str">
        <x:v>Ricardo Peña</x:v>
      </x:c>
      <x:c r="J16" s="26" t="str">
        <x:v>Mitigating</x:v>
      </x:c>
    </x:row>
    <x:row r="17">
      <x:c r="A17" s="26" t="str">
        <x:v>RSK-016</x:v>
      </x:c>
      <x:c r="B17" s="26" t="str">
        <x:v>PRJ-008</x:v>
      </x:c>
      <x:c r="C17" s="26" t="str">
        <x:v>Procurement</x:v>
      </x:c>
      <x:c r="D17" s="26" t="n">
        <x:v>2</x:v>
      </x:c>
      <x:c r="E17" s="26" t="n">
        <x:v>4</x:v>
      </x:c>
      <x:c r="F17" s="26" t="n">
        <x:v>8</x:v>
      </x:c>
      <x:c r="G17" s="26" t="n">
        <x:v>2</x:v>
      </x:c>
      <x:c r="H17" s="26" t="str">
        <x:v>Low</x:v>
      </x:c>
      <x:c r="I17" s="26" t="str">
        <x:v>Ricardo Peña</x:v>
      </x:c>
      <x:c r="J17" s="26" t="str">
        <x:v>Monitoring</x:v>
      </x:c>
    </x:row>
    <x:row r="18">
      <x:c r="A18" s="26" t="str">
        <x:v>RSK-017</x:v>
      </x:c>
      <x:c r="B18" s="26" t="str">
        <x:v>PRJ-009</x:v>
      </x:c>
      <x:c r="C18" s="26" t="str">
        <x:v>Procurement</x:v>
      </x:c>
      <x:c r="D18" s="26" t="n">
        <x:v>3</x:v>
      </x:c>
      <x:c r="E18" s="26" t="n">
        <x:v>5</x:v>
      </x:c>
      <x:c r="F18" s="26" t="n">
        <x:v>15</x:v>
      </x:c>
      <x:c r="G18" s="26" t="n">
        <x:v>11</x:v>
      </x:c>
      <x:c r="H18" s="26" t="str">
        <x:v>High</x:v>
      </x:c>
      <x:c r="I18" s="26" t="str">
        <x:v>Paola Díaz</x:v>
      </x:c>
      <x:c r="J18" s="26" t="str">
        <x:v>Mitigating</x:v>
      </x:c>
    </x:row>
    <x:row r="19">
      <x:c r="A19" s="26" t="str">
        <x:v>RSK-018</x:v>
      </x:c>
      <x:c r="B19" s="26" t="str">
        <x:v>PRJ-009</x:v>
      </x:c>
      <x:c r="C19" s="26" t="str">
        <x:v>Schedule</x:v>
      </x:c>
      <x:c r="D19" s="26" t="n">
        <x:v>4</x:v>
      </x:c>
      <x:c r="E19" s="26" t="n">
        <x:v>2</x:v>
      </x:c>
      <x:c r="F19" s="26" t="n">
        <x:v>8</x:v>
      </x:c>
      <x:c r="G19" s="26" t="n">
        <x:v>6</x:v>
      </x:c>
      <x:c r="H19" s="26" t="str">
        <x:v>Medium</x:v>
      </x:c>
      <x:c r="I19" s="26" t="str">
        <x:v>Paola Díaz</x:v>
      </x:c>
      <x:c r="J19" s="26" t="str">
        <x:v>Monitoring</x:v>
      </x:c>
    </x:row>
    <x:row r="20">
      <x:c r="A20" s="26" t="str">
        <x:v>RSK-019</x:v>
      </x:c>
      <x:c r="B20" s="26" t="str">
        <x:v>PRJ-010</x:v>
      </x:c>
      <x:c r="C20" s="26" t="str">
        <x:v>Supplier</x:v>
      </x:c>
      <x:c r="D20" s="26" t="n">
        <x:v>5</x:v>
      </x:c>
      <x:c r="E20" s="26" t="n">
        <x:v>2</x:v>
      </x:c>
      <x:c r="F20" s="26" t="n">
        <x:v>10</x:v>
      </x:c>
      <x:c r="G20" s="26" t="n">
        <x:v>9</x:v>
      </x:c>
      <x:c r="H20" s="26" t="str">
        <x:v>Medium</x:v>
      </x:c>
      <x:c r="I20" s="26" t="str">
        <x:v>Miguel Soto</x:v>
      </x:c>
      <x:c r="J20" s="26" t="str">
        <x:v>Open</x:v>
      </x:c>
    </x:row>
    <x:row r="21">
      <x:c r="A21" s="26" t="str">
        <x:v>RSK-020</x:v>
      </x:c>
      <x:c r="B21" s="26" t="str">
        <x:v>PRJ-010</x:v>
      </x:c>
      <x:c r="C21" s="26" t="str">
        <x:v>Cost</x:v>
      </x:c>
      <x:c r="D21" s="26" t="n">
        <x:v>4</x:v>
      </x:c>
      <x:c r="E21" s="26" t="n">
        <x:v>2</x:v>
      </x:c>
      <x:c r="F21" s="26" t="n">
        <x:v>8</x:v>
      </x:c>
      <x:c r="G21" s="26" t="n">
        <x:v>7</x:v>
      </x:c>
      <x:c r="H21" s="26" t="str">
        <x:v>Medium</x:v>
      </x:c>
      <x:c r="I21" s="26" t="str">
        <x:v>Miguel Soto</x:v>
      </x:c>
      <x:c r="J21" s="26" t="str">
        <x:v>Open</x:v>
      </x:c>
    </x:row>
    <x:row r="22">
      <x:c r="A22" s="26" t="str">
        <x:v>RSK-021</x:v>
      </x:c>
      <x:c r="B22" s="26" t="str">
        <x:v>PRJ-011</x:v>
      </x:c>
      <x:c r="C22" s="26" t="str">
        <x:v>Procurement</x:v>
      </x:c>
      <x:c r="D22" s="26" t="n">
        <x:v>4</x:v>
      </x:c>
      <x:c r="E22" s="26" t="n">
        <x:v>5</x:v>
      </x:c>
      <x:c r="F22" s="26" t="n">
        <x:v>20</x:v>
      </x:c>
      <x:c r="G22" s="26" t="n">
        <x:v>15</x:v>
      </x:c>
      <x:c r="H22" s="26" t="str">
        <x:v>High</x:v>
      </x:c>
      <x:c r="I22" s="26" t="str">
        <x:v>Andrea Gómez</x:v>
      </x:c>
      <x:c r="J22" s="26" t="str">
        <x:v>Mitigating</x:v>
      </x:c>
    </x:row>
    <x:row r="23">
      <x:c r="A23" s="26" t="str">
        <x:v>RSK-022</x:v>
      </x:c>
      <x:c r="B23" s="26" t="str">
        <x:v>PRJ-011</x:v>
      </x:c>
      <x:c r="C23" s="26" t="str">
        <x:v>Schedule</x:v>
      </x:c>
      <x:c r="D23" s="26" t="n">
        <x:v>2</x:v>
      </x:c>
      <x:c r="E23" s="26" t="n">
        <x:v>3</x:v>
      </x:c>
      <x:c r="F23" s="26" t="n">
        <x:v>6</x:v>
      </x:c>
      <x:c r="G23" s="26" t="n">
        <x:v>1</x:v>
      </x:c>
      <x:c r="H23" s="26" t="str">
        <x:v>Low</x:v>
      </x:c>
      <x:c r="I23" s="26" t="str">
        <x:v>Andrea Gómez</x:v>
      </x:c>
      <x:c r="J23" s="26" t="str">
        <x:v>Mitigating</x:v>
      </x:c>
    </x:row>
    <x:row r="24">
      <x:c r="A24" s="26" t="str">
        <x:v>RSK-023</x:v>
      </x:c>
      <x:c r="B24" s="26" t="str">
        <x:v>PRJ-012</x:v>
      </x:c>
      <x:c r="C24" s="26" t="str">
        <x:v>Technical</x:v>
      </x:c>
      <x:c r="D24" s="26" t="n">
        <x:v>2</x:v>
      </x:c>
      <x:c r="E24" s="26" t="n">
        <x:v>2</x:v>
      </x:c>
      <x:c r="F24" s="26" t="n">
        <x:v>4</x:v>
      </x:c>
      <x:c r="G24" s="26" t="n">
        <x:v>2</x:v>
      </x:c>
      <x:c r="H24" s="26" t="str">
        <x:v>Low</x:v>
      </x:c>
      <x:c r="I24" s="26" t="str">
        <x:v>Daniel Chan</x:v>
      </x:c>
      <x:c r="J24" s="26" t="str">
        <x:v>Monitoring</x:v>
      </x:c>
    </x:row>
    <x:row r="25">
      <x:c r="A25" s="26" t="str">
        <x:v>RSK-024</x:v>
      </x:c>
      <x:c r="B25" s="26" t="str">
        <x:v>PRJ-012</x:v>
      </x:c>
      <x:c r="C25" s="26" t="str">
        <x:v>Stakeholder</x:v>
      </x:c>
      <x:c r="D25" s="26" t="n">
        <x:v>4</x:v>
      </x:c>
      <x:c r="E25" s="26" t="n">
        <x:v>3</x:v>
      </x:c>
      <x:c r="F25" s="26" t="n">
        <x:v>12</x:v>
      </x:c>
      <x:c r="G25" s="26" t="n">
        <x:v>11</x:v>
      </x:c>
      <x:c r="H25" s="26" t="str">
        <x:v>High</x:v>
      </x:c>
      <x:c r="I25" s="26" t="str">
        <x:v>Daniel Chan</x:v>
      </x:c>
      <x:c r="J25" s="26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6c236bcbf4f94de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6" hidden="0" customWidth="1"/>
    <x:col min="4" max="4" width="16" hidden="0" customWidth="1"/>
    <x:col min="5" max="5" width="22" hidden="0" customWidth="1"/>
    <x:col min="6" max="6" width="18" hidden="0" customWidth="1"/>
    <x:col min="7" max="7" width="14" hidden="0" customWidth="1"/>
  </x:cols>
  <x:sheetData>
    <x:row r="1">
      <x:c r="A1" s="24" t="str">
        <x:v>Project ID</x:v>
      </x:c>
      <x:c r="B1" s="24" t="str">
        <x:v>Approved Budget</x:v>
      </x:c>
      <x:c r="C1" s="24" t="str">
        <x:v>Committed</x:v>
      </x:c>
      <x:c r="D1" s="24" t="str">
        <x:v>Actual Spend</x:v>
      </x:c>
      <x:c r="E1" s="24" t="str">
        <x:v>Forecast at Completion</x:v>
      </x:c>
      <x:c r="F1" s="24" t="str">
        <x:v>Forecast Variance</x:v>
      </x:c>
      <x:c r="G1" s="24" t="str">
        <x:v>Variance %</x:v>
      </x:c>
    </x:row>
    <x:row r="2">
      <x:c r="A2" s="26" t="str">
        <x:v>PRJ-001</x:v>
      </x:c>
      <x:c r="B2" s="28" t="n">
        <x:v>8500000</x:v>
      </x:c>
      <x:c r="C2" s="28" t="n">
        <x:v>5940000</x:v>
      </x:c>
      <x:c r="D2" s="28" t="n">
        <x:v>2727000</x:v>
      </x:c>
      <x:c r="E2" s="28" t="n">
        <x:v>8805000</x:v>
      </x:c>
      <x:c r="F2" s="28" t="n">
        <x:v>305000</x:v>
      </x:c>
      <x:c r="G2" s="34" t="n">
        <x:v>0.03588235294117647</x:v>
      </x:c>
    </x:row>
    <x:row r="3">
      <x:c r="A3" s="26" t="str">
        <x:v>PRJ-002</x:v>
      </x:c>
      <x:c r="B3" s="28" t="n">
        <x:v>5200000</x:v>
      </x:c>
      <x:c r="C3" s="28" t="n">
        <x:v>3027000</x:v>
      </x:c>
      <x:c r="D3" s="28" t="n">
        <x:v>2182000</x:v>
      </x:c>
      <x:c r="E3" s="28" t="n">
        <x:v>5286000</x:v>
      </x:c>
      <x:c r="F3" s="28" t="n">
        <x:v>86000</x:v>
      </x:c>
      <x:c r="G3" s="34" t="n">
        <x:v>0.01653846153846154</x:v>
      </x:c>
    </x:row>
    <x:row r="4">
      <x:c r="A4" s="26" t="str">
        <x:v>PRJ-003</x:v>
      </x:c>
      <x:c r="B4" s="28" t="n">
        <x:v>7800000</x:v>
      </x:c>
      <x:c r="C4" s="28" t="n">
        <x:v>3042000</x:v>
      </x:c>
      <x:c r="D4" s="28" t="n">
        <x:v>1394000</x:v>
      </x:c>
      <x:c r="E4" s="28" t="n">
        <x:v>7727000</x:v>
      </x:c>
      <x:c r="F4" s="28" t="n">
        <x:v>-73000</x:v>
      </x:c>
      <x:c r="G4" s="34" t="n">
        <x:v>-0.00935897435897436</x:v>
      </x:c>
    </x:row>
    <x:row r="5">
      <x:c r="A5" s="26" t="str">
        <x:v>PRJ-004</x:v>
      </x:c>
      <x:c r="B5" s="28" t="n">
        <x:v>4100000</x:v>
      </x:c>
      <x:c r="C5" s="28" t="n">
        <x:v>1619000</x:v>
      </x:c>
      <x:c r="D5" s="28" t="n">
        <x:v>835000</x:v>
      </x:c>
      <x:c r="E5" s="28" t="n">
        <x:v>4305000</x:v>
      </x:c>
      <x:c r="F5" s="28" t="n">
        <x:v>205000</x:v>
      </x:c>
      <x:c r="G5" s="34" t="n">
        <x:v>0.05</x:v>
      </x:c>
    </x:row>
    <x:row r="6">
      <x:c r="A6" s="26" t="str">
        <x:v>PRJ-005</x:v>
      </x:c>
      <x:c r="B6" s="28" t="n">
        <x:v>6100000</x:v>
      </x:c>
      <x:c r="C6" s="28" t="n">
        <x:v>4673000</x:v>
      </x:c>
      <x:c r="D6" s="28" t="n">
        <x:v>2408000</x:v>
      </x:c>
      <x:c r="E6" s="28" t="n">
        <x:v>6349000</x:v>
      </x:c>
      <x:c r="F6" s="28" t="n">
        <x:v>249000</x:v>
      </x:c>
      <x:c r="G6" s="34" t="n">
        <x:v>0.04081967213114754</x:v>
      </x:c>
    </x:row>
    <x:row r="7">
      <x:c r="A7" s="26" t="str">
        <x:v>PRJ-006</x:v>
      </x:c>
      <x:c r="B7" s="28" t="n">
        <x:v>7200000</x:v>
      </x:c>
      <x:c r="C7" s="28" t="n">
        <x:v>4166000</x:v>
      </x:c>
      <x:c r="D7" s="28" t="n">
        <x:v>2870000</x:v>
      </x:c>
      <x:c r="E7" s="28" t="n">
        <x:v>8010000</x:v>
      </x:c>
      <x:c r="F7" s="28" t="n">
        <x:v>810000</x:v>
      </x:c>
      <x:c r="G7" s="34" t="n">
        <x:v>0.1125</x:v>
      </x:c>
    </x:row>
    <x:row r="8">
      <x:c r="A8" s="26" t="str">
        <x:v>PRJ-007</x:v>
      </x:c>
      <x:c r="B8" s="28" t="n">
        <x:v>4900000</x:v>
      </x:c>
      <x:c r="C8" s="28" t="n">
        <x:v>2573000</x:v>
      </x:c>
      <x:c r="D8" s="28" t="n">
        <x:v>1716000</x:v>
      </x:c>
      <x:c r="E8" s="28" t="n">
        <x:v>5040000</x:v>
      </x:c>
      <x:c r="F8" s="28" t="n">
        <x:v>140000</x:v>
      </x:c>
      <x:c r="G8" s="34" t="n">
        <x:v>0.02857142857142857</x:v>
      </x:c>
    </x:row>
    <x:row r="9">
      <x:c r="A9" s="26" t="str">
        <x:v>PRJ-008</x:v>
      </x:c>
      <x:c r="B9" s="28" t="n">
        <x:v>5500000</x:v>
      </x:c>
      <x:c r="C9" s="28" t="n">
        <x:v>2316000</x:v>
      </x:c>
      <x:c r="D9" s="28" t="n">
        <x:v>1441000</x:v>
      </x:c>
      <x:c r="E9" s="28" t="n">
        <x:v>6129000</x:v>
      </x:c>
      <x:c r="F9" s="28" t="n">
        <x:v>629000</x:v>
      </x:c>
      <x:c r="G9" s="34" t="n">
        <x:v>0.11436363636363636</x:v>
      </x:c>
    </x:row>
    <x:row r="10">
      <x:c r="A10" s="26" t="str">
        <x:v>PRJ-009</x:v>
      </x:c>
      <x:c r="B10" s="28" t="n">
        <x:v>3800000</x:v>
      </x:c>
      <x:c r="C10" s="28" t="n">
        <x:v>2648000</x:v>
      </x:c>
      <x:c r="D10" s="28" t="n">
        <x:v>1388000</x:v>
      </x:c>
      <x:c r="E10" s="28" t="n">
        <x:v>3800000</x:v>
      </x:c>
      <x:c r="F10" s="28" t="n">
        <x:v>0</x:v>
      </x:c>
      <x:c r="G10" s="34" t="n">
        <x:v>0</x:v>
      </x:c>
    </x:row>
    <x:row r="11">
      <x:c r="A11" s="26" t="str">
        <x:v>PRJ-010</x:v>
      </x:c>
      <x:c r="B11" s="28" t="n">
        <x:v>3500000</x:v>
      </x:c>
      <x:c r="C11" s="28" t="n">
        <x:v>1542000</x:v>
      </x:c>
      <x:c r="D11" s="28" t="n">
        <x:v>928000</x:v>
      </x:c>
      <x:c r="E11" s="28" t="n">
        <x:v>3580000</x:v>
      </x:c>
      <x:c r="F11" s="28" t="n">
        <x:v>80000</x:v>
      </x:c>
      <x:c r="G11" s="34" t="n">
        <x:v>0.022857142857142857</x:v>
      </x:c>
    </x:row>
    <x:row r="12">
      <x:c r="A12" s="26" t="str">
        <x:v>PRJ-011</x:v>
      </x:c>
      <x:c r="B12" s="28" t="n">
        <x:v>6200000</x:v>
      </x:c>
      <x:c r="C12" s="28" t="n">
        <x:v>2565000</x:v>
      </x:c>
      <x:c r="D12" s="28" t="n">
        <x:v>1563000</x:v>
      </x:c>
      <x:c r="E12" s="28" t="n">
        <x:v>6927000</x:v>
      </x:c>
      <x:c r="F12" s="28" t="n">
        <x:v>727000</x:v>
      </x:c>
      <x:c r="G12" s="34" t="n">
        <x:v>0.11725806451612904</x:v>
      </x:c>
    </x:row>
    <x:row r="13">
      <x:c r="A13" s="26" t="str">
        <x:v>PRJ-012</x:v>
      </x:c>
      <x:c r="B13" s="28" t="n">
        <x:v>7200000</x:v>
      </x:c>
      <x:c r="C13" s="28" t="n">
        <x:v>3847000</x:v>
      </x:c>
      <x:c r="D13" s="28" t="n">
        <x:v>2641000</x:v>
      </x:c>
      <x:c r="E13" s="28" t="n">
        <x:v>8034000</x:v>
      </x:c>
      <x:c r="F13" s="28" t="n">
        <x:v>834000</x:v>
      </x:c>
      <x:c r="G13" s="34" t="n">
        <x:v>0.11583333333333333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d8eaaa45b3f445a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48" hidden="0" customWidth="1"/>
  </x:cols>
  <x:sheetData>
    <x:row r="1">
      <x:c r="A1" s="24" t="str">
        <x:v>Table</x:v>
      </x:c>
      <x:c r="B1" s="24" t="str">
        <x:v>Purpose</x:v>
      </x:c>
      <x:c r="C1" s="24" t="str">
        <x:v>Key Field</x:v>
      </x:c>
      <x:c r="D1" s="24" t="str">
        <x:v>Used for</x:v>
      </x:c>
    </x:row>
    <x:row r="2">
      <x:c r="A2" s="11" t="str">
        <x:v>Projects</x:v>
      </x:c>
      <x:c r="B2" s="11" t="str">
        <x:v>Master list of infrastructure workstreams</x:v>
      </x:c>
      <x:c r="C2" s="11" t="str">
        <x:v>Project ID</x:v>
      </x:c>
      <x:c r="D2" s="11" t="str">
        <x:v>Programme overview, scope, progress, RAG</x:v>
      </x:c>
    </x:row>
    <x:row r="3">
      <x:c r="A3" s="11" t="str">
        <x:v>Procurement</x:v>
      </x:c>
      <x:c r="B3" s="11" t="str">
        <x:v>Procurement packages and award timing</x:v>
      </x:c>
      <x:c r="C3" s="11" t="str">
        <x:v>Procurement ID</x:v>
      </x:c>
      <x:c r="D3" s="11" t="str">
        <x:v>Pipeline, delays, procurement lead-time alerts</x:v>
      </x:c>
    </x:row>
    <x:row r="4">
      <x:c r="A4" s="11" t="str">
        <x:v>Contracts</x:v>
      </x:c>
      <x:c r="B4" s="11" t="str">
        <x:v>Supplier contracts and financial outlook</x:v>
      </x:c>
      <x:c r="C4" s="11" t="str">
        <x:v>Contract ID</x:v>
      </x:c>
      <x:c r="D4" s="11" t="str">
        <x:v>Contract value, forecast pressure, supplier linkage</x:v>
      </x:c>
    </x:row>
    <x:row r="5">
      <x:c r="A5" s="11" t="str">
        <x:v>Suppliers</x:v>
      </x:c>
      <x:c r="B5" s="11" t="str">
        <x:v>Supplier performance scorecard</x:v>
      </x:c>
      <x:c r="C5" s="11" t="str">
        <x:v>Supplier ID</x:v>
      </x:c>
      <x:c r="D5" s="11" t="str">
        <x:v>Quality, delivery, compliance and agent exception detection</x:v>
      </x:c>
    </x:row>
    <x:row r="6">
      <x:c r="A6" s="11" t="str">
        <x:v>Milestones</x:v>
      </x:c>
      <x:c r="B6" s="11" t="str">
        <x:v>Planned and actual delivery milestones</x:v>
      </x:c>
      <x:c r="C6" s="11" t="str">
        <x:v>Milestone ID</x:v>
      </x:c>
      <x:c r="D6" s="11" t="str">
        <x:v>Schedule performance and due/overdue alerts</x:v>
      </x:c>
    </x:row>
    <x:row r="7">
      <x:c r="A7" s="11" t="str">
        <x:v>Risks</x:v>
      </x:c>
      <x:c r="B7" s="11" t="str">
        <x:v>Programme and project risk register</x:v>
      </x:c>
      <x:c r="C7" s="11" t="str">
        <x:v>Risk ID</x:v>
      </x:c>
      <x:c r="D7" s="11" t="str">
        <x:v>Risk prioritization, owners and mitigation status</x:v>
      </x:c>
    </x:row>
    <x:row r="8">
      <x:c r="A8" s="11" t="str">
        <x:v>Financials</x:v>
      </x:c>
      <x:c r="B8" s="11" t="str">
        <x:v>Project-level budget/forecast position</x:v>
      </x:c>
      <x:c r="C8" s="11" t="str">
        <x:v>Project ID</x:v>
      </x:c>
      <x:c r="D8" s="11" t="str">
        <x:v>Budget vs actual/forecast and financial escalation</x:v>
      </x:c>
    </x:row>
  </x:sheetData>
  <x:pageMargins left="0.7" right="0.7" top="0.75" bottom="0.75" header="0.3" footer="0.3"/>
  <x:tableParts count="1">
    <x:tablePart xmlns:r="http://schemas.openxmlformats.org/officeDocument/2006/relationships" r:id="R672af90fff0d4aea"/>
  </x:tableParts>
</x:worksheet>
</file>